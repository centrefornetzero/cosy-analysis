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ormulas" sheetId="1" state="visible" r:id="rId1"/>
    <sheet xmlns:r="http://schemas.openxmlformats.org/officeDocument/2006/relationships" name="GDP deflator" sheetId="2" state="visible" r:id="rId2"/>
    <sheet xmlns:r="http://schemas.openxmlformats.org/officeDocument/2006/relationships" name="Defra gas and elec carbon inten" sheetId="3" state="visible" r:id="rId3"/>
    <sheet xmlns:r="http://schemas.openxmlformats.org/officeDocument/2006/relationships" name="Retail energy prices forecast" sheetId="4" state="visible" r:id="rId4"/>
    <sheet xmlns:r="http://schemas.openxmlformats.org/officeDocument/2006/relationships" name="SCC HMG" sheetId="5" state="visible" r:id="rId5"/>
    <sheet xmlns:r="http://schemas.openxmlformats.org/officeDocument/2006/relationships" name="SCC IWG" sheetId="6" state="visible" r:id="rId6"/>
    <sheet xmlns:r="http://schemas.openxmlformats.org/officeDocument/2006/relationships" name="DESNZ elec carbon intensity" sheetId="7" state="visible" r:id="rId7"/>
    <sheet xmlns:r="http://schemas.openxmlformats.org/officeDocument/2006/relationships" name="Air quality" sheetId="8" state="visible" r:id="rId8"/>
    <sheet xmlns:r="http://schemas.openxmlformats.org/officeDocument/2006/relationships" name="UK ETS" sheetId="9" state="visible" r:id="rId9"/>
    <sheet xmlns:r="http://schemas.openxmlformats.org/officeDocument/2006/relationships" name="WattTime marginal carbon intens" sheetId="10" state="visible" r:id="rId10"/>
    <sheet xmlns:r="http://schemas.openxmlformats.org/officeDocument/2006/relationships" name="System price" sheetId="11" state="visible" r:id="rId11"/>
    <sheet xmlns:r="http://schemas.openxmlformats.org/officeDocument/2006/relationships" name="MCS cost data" sheetId="12" state="visible" r:id="rId12"/>
  </sheets>
  <definedNames/>
  <calcPr calcId="124519" fullCalcOnLoad="1"/>
</workbook>
</file>

<file path=xl/styles.xml><?xml version="1.0" encoding="utf-8"?>
<styleSheet xmlns="http://schemas.openxmlformats.org/spreadsheetml/2006/main">
  <numFmts count="19">
    <numFmt numFmtId="164" formatCode="&quot;£&quot;#,##0"/>
    <numFmt numFmtId="165" formatCode="[$£-809]#,##0"/>
    <numFmt numFmtId="166" formatCode="#,##0.000"/>
    <numFmt numFmtId="167" formatCode="0.0%"/>
    <numFmt numFmtId="168" formatCode="0.000"/>
    <numFmt numFmtId="169" formatCode="[$£-809]#,##0.00"/>
    <numFmt numFmtId="170" formatCode="&quot;£&quot;#,##0.00"/>
    <numFmt numFmtId="171" formatCode="[$£-809]#,##0.0"/>
    <numFmt numFmtId="172" formatCode="[$$]#,##0.0"/>
    <numFmt numFmtId="173" formatCode="#,##0.0"/>
    <numFmt numFmtId="174" formatCode="&quot;£&quot;#,##0.0000"/>
    <numFmt numFmtId="175" formatCode="0.0000"/>
    <numFmt numFmtId="176" formatCode="yyyy-mm"/>
    <numFmt numFmtId="177" formatCode="yyyy-m"/>
    <numFmt numFmtId="178" formatCode="hh:mm:ss"/>
    <numFmt numFmtId="179" formatCode="yyyy-mm-dd"/>
    <numFmt numFmtId="180" formatCode="HH:mm:ss"/>
    <numFmt numFmtId="181" formatCode="mmm-d"/>
    <numFmt numFmtId="182" formatCode="mmmm-d"/>
  </numFmts>
  <fonts count="41">
    <font>
      <name val="Arial"/>
      <color rgb="FF000000"/>
      <sz val="10"/>
      <scheme val="minor"/>
    </font>
    <font>
      <name val="Arial"/>
      <b val="1"/>
      <color theme="1"/>
      <sz val="18"/>
      <scheme val="minor"/>
    </font>
    <font>
      <name val="Arial"/>
      <i val="1"/>
      <color theme="1"/>
      <scheme val="minor"/>
    </font>
    <font>
      <name val="Arial"/>
      <color theme="1"/>
      <scheme val="minor"/>
    </font>
    <font>
      <name val="Arial"/>
      <b val="1"/>
      <color theme="1"/>
      <scheme val="minor"/>
    </font>
    <font>
      <name val="Arial"/>
      <color theme="1"/>
    </font>
    <font>
      <name val="Arial"/>
      <b val="1"/>
      <i val="1"/>
      <color rgb="FF666666"/>
      <scheme val="minor"/>
    </font>
    <font>
      <name val="Arial"/>
      <color rgb="FF000000"/>
      <scheme val="minor"/>
    </font>
    <font>
      <name val="Arial"/>
      <strike val="1"/>
      <color theme="1"/>
      <scheme val="minor"/>
    </font>
    <font>
      <name val="Arial"/>
      <strike val="1"/>
      <color theme="1"/>
    </font>
    <font>
      <name val="&quot;Times New Roman&quot;"/>
      <b val="1"/>
      <color rgb="FF000000"/>
      <sz val="8"/>
      <u val="single"/>
    </font>
    <font>
      <name val="&quot;Times New Roman&quot;"/>
      <color rgb="FF000000"/>
      <sz val="8"/>
    </font>
    <font/>
    <font>
      <name val="&quot;Times New Roman&quot;"/>
      <b val="1"/>
      <color rgb="FF000000"/>
      <sz val="8"/>
    </font>
    <font>
      <name val="&quot;Times New Roman&quot;"/>
      <color rgb="FF0000FF"/>
      <sz val="8"/>
      <u val="single"/>
    </font>
    <font>
      <name val="Arial"/>
      <color rgb="FF000000"/>
      <sz val="5"/>
    </font>
    <font>
      <color rgb="FF01154D"/>
      <sz val="10"/>
      <u val="single"/>
    </font>
    <font>
      <name val="Arial"/>
      <color rgb="FF000000"/>
      <sz val="8"/>
    </font>
    <font>
      <name val="Calibri"/>
      <color rgb="FF01154D"/>
      <sz val="8"/>
    </font>
    <font>
      <color rgb="FF0000FF"/>
      <u val="single"/>
    </font>
    <font>
      <name val="Arial"/>
      <b val="1"/>
      <color rgb="FF27303E"/>
      <sz val="9"/>
    </font>
    <font>
      <name val="Arial"/>
      <color rgb="FF27303E"/>
      <sz val="9"/>
    </font>
    <font>
      <name val="Arial"/>
      <b val="1"/>
      <color rgb="FFFFFFFF"/>
      <sz val="8"/>
    </font>
    <font>
      <name val="Arial"/>
      <b val="1"/>
      <color rgb="FF000000"/>
      <sz val="8"/>
    </font>
    <font>
      <name val="Arial"/>
      <color rgb="FF0B4CB4"/>
      <sz val="8"/>
      <u val="single"/>
    </font>
    <font>
      <name val="&quot;Helvetica Neue&quot;"/>
      <b val="1"/>
      <color rgb="FF000000"/>
      <sz val="8"/>
    </font>
    <font>
      <name val="&quot;Helvetica Neue&quot;"/>
      <color rgb="FF000000"/>
      <sz val="8"/>
    </font>
    <font>
      <name val="Arial"/>
      <b val="1"/>
      <color rgb="FF233C57"/>
      <sz val="9"/>
    </font>
    <font>
      <name val="Arial"/>
      <i val="1"/>
      <color rgb="FF000000"/>
      <sz val="8"/>
    </font>
    <font>
      <name val="Arial"/>
      <b val="1"/>
      <color rgb="FFE1E0E0"/>
      <sz val="8"/>
    </font>
    <font>
      <name val="Calibri"/>
      <b val="1"/>
      <color rgb="FFE1E0E0"/>
      <sz val="8"/>
    </font>
    <font>
      <name val="Calibri"/>
      <b val="1"/>
      <i val="1"/>
      <color rgb="FF000000"/>
      <sz val="8"/>
    </font>
    <font>
      <name val="Calibri"/>
      <color rgb="FF000000"/>
      <sz val="8"/>
    </font>
    <font>
      <name val="Arial"/>
      <color rgb="FF0000FF"/>
      <sz val="8"/>
      <u val="single"/>
    </font>
    <font>
      <name val="Calibri"/>
      <i val="1"/>
      <color rgb="FF000000"/>
      <sz val="8"/>
    </font>
    <font>
      <name val="Arial"/>
      <color rgb="FF000000"/>
      <sz val="8"/>
      <u val="single"/>
    </font>
    <font>
      <name val="Arial"/>
      <color rgb="FF0000FF"/>
      <sz val="8"/>
      <u val="single"/>
    </font>
    <font>
      <name val="&quot;GDS Transport&quot;"/>
      <color rgb="FF0B0C0C"/>
    </font>
    <font>
      <name val="&quot;GDS Transport&quot;"/>
      <b val="1"/>
      <color rgb="FF0B0C0C"/>
    </font>
    <font>
      <name val="Aptos Narrow"/>
      <color theme="1"/>
      <sz val="10"/>
    </font>
    <font>
      <name val="Arial"/>
      <color theme="1"/>
      <sz val="10"/>
    </font>
  </fonts>
  <fills count="19">
    <fill>
      <patternFill/>
    </fill>
    <fill>
      <patternFill patternType="lightGray"/>
    </fill>
    <fill>
      <patternFill patternType="solid">
        <fgColor rgb="FFF9CB9C"/>
        <bgColor rgb="FFF9CB9C"/>
      </patternFill>
    </fill>
    <fill>
      <patternFill patternType="solid">
        <fgColor rgb="FF00FFFF"/>
        <bgColor rgb="FF00FFFF"/>
      </patternFill>
    </fill>
    <fill>
      <patternFill patternType="solid">
        <fgColor rgb="FFD9D9D9"/>
        <bgColor rgb="FFD9D9D9"/>
      </patternFill>
    </fill>
    <fill>
      <patternFill patternType="solid">
        <fgColor rgb="FFD9EAD3"/>
        <bgColor rgb="FFD9EAD3"/>
      </patternFill>
    </fill>
    <fill>
      <patternFill patternType="solid">
        <fgColor rgb="FFFFFFFF"/>
        <bgColor rgb="FFFFFFFF"/>
      </patternFill>
    </fill>
    <fill>
      <patternFill patternType="solid">
        <fgColor rgb="FFD0D0D0"/>
        <bgColor rgb="FFD0D0D0"/>
      </patternFill>
    </fill>
    <fill>
      <patternFill patternType="solid">
        <fgColor rgb="FF01154D"/>
        <bgColor rgb="FF01154D"/>
      </patternFill>
    </fill>
    <fill>
      <patternFill patternType="solid">
        <fgColor rgb="FF36608E"/>
        <bgColor rgb="FF36608E"/>
      </patternFill>
    </fill>
    <fill>
      <patternFill patternType="solid">
        <fgColor rgb="FF8CB5DF"/>
        <bgColor rgb="FF8CB5DF"/>
      </patternFill>
    </fill>
    <fill>
      <patternFill patternType="solid">
        <fgColor rgb="FFB0B3B2"/>
        <bgColor rgb="FFB0B3B2"/>
      </patternFill>
    </fill>
    <fill>
      <patternFill patternType="solid">
        <fgColor rgb="FFD4D4D4"/>
        <bgColor rgb="FFD4D4D4"/>
      </patternFill>
    </fill>
    <fill>
      <patternFill patternType="solid">
        <fgColor rgb="FF233C57"/>
        <bgColor rgb="FF233C57"/>
      </patternFill>
    </fill>
    <fill>
      <patternFill patternType="solid">
        <fgColor rgb="FFB0CDEA"/>
        <bgColor rgb="FFB0CDEA"/>
      </patternFill>
    </fill>
    <fill>
      <patternFill patternType="solid">
        <fgColor rgb="FFEFEFEF"/>
        <bgColor rgb="FFEFEFEF"/>
      </patternFill>
    </fill>
    <fill>
      <patternFill patternType="solid">
        <fgColor rgb="FFD7E6F4"/>
        <bgColor rgb="FFD7E6F4"/>
      </patternFill>
    </fill>
    <fill>
      <patternFill patternType="solid">
        <fgColor rgb="FF666666"/>
        <bgColor rgb="FF666666"/>
      </patternFill>
    </fill>
    <fill>
      <patternFill patternType="solid">
        <fgColor rgb="FFCCCCCC"/>
        <bgColor rgb="FFCCCCCC"/>
      </patternFill>
    </fill>
  </fills>
  <borders count="66">
    <border/>
    <border>
      <left style="thin">
        <color rgb="FF9A9A9A"/>
      </left>
      <right style="thin">
        <color rgb="FF000000"/>
      </right>
      <top style="thin">
        <color rgb="FF9A9A9A"/>
      </top>
      <bottom style="thin">
        <color rgb="FF000000"/>
      </bottom>
    </border>
    <border>
      <left style="thin">
        <color rgb="FF000000"/>
      </left>
      <right style="thin">
        <color rgb="FF000000"/>
      </right>
      <top style="thin">
        <color rgb="FF9A9A9A"/>
      </top>
      <bottom style="thin">
        <color rgb="FF000000"/>
      </bottom>
    </border>
    <border>
      <left style="thin">
        <color rgb="FF000000"/>
      </left>
      <right style="thin">
        <color rgb="FF9A9A9A"/>
      </right>
      <top style="thin">
        <color rgb="FF9A9A9A"/>
      </top>
      <bottom style="thin">
        <color rgb="FF000000"/>
      </bottom>
    </border>
    <border>
      <left style="thin">
        <color rgb="FF9A9A9A"/>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9A9A9A"/>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9A9A9A"/>
      </left>
      <right style="thin">
        <color rgb="FF000000"/>
      </right>
      <top style="thin">
        <color rgb="FF000000"/>
      </top>
      <bottom style="thin">
        <color rgb="FF9A9A9A"/>
      </bottom>
    </border>
    <border>
      <left style="thin">
        <color rgb="FF000000"/>
      </left>
      <right style="thin">
        <color rgb="FF000000"/>
      </right>
      <top style="thin">
        <color rgb="FF000000"/>
      </top>
      <bottom style="thin">
        <color rgb="FF9A9A9A"/>
      </bottom>
    </border>
    <border>
      <left style="thin">
        <color rgb="FF000000"/>
      </left>
      <right style="thin">
        <color rgb="FF9A9A9A"/>
      </right>
      <top style="thin">
        <color rgb="FF000000"/>
      </top>
      <bottom style="thin">
        <color rgb="FF9A9A9A"/>
      </bottom>
    </border>
    <border>
      <left style="thin">
        <color rgb="FF092E4C"/>
      </left>
      <right style="thin">
        <color rgb="FF092E4C"/>
      </right>
      <top style="thin">
        <color rgb="FF092E4C"/>
      </top>
      <bottom style="thin">
        <color rgb="FF092E4C"/>
      </bottom>
    </border>
    <border>
      <left style="thin">
        <color rgb="FF092E4C"/>
      </left>
      <right style="thin">
        <color rgb="FF000000"/>
      </right>
      <top style="thin">
        <color rgb="FF000000"/>
      </top>
      <bottom style="thin">
        <color rgb="FF000000"/>
      </bottom>
    </border>
    <border>
      <left style="thin">
        <color rgb="FF092E4C"/>
      </left>
      <right style="thin">
        <color rgb="FF092E4C"/>
      </right>
      <top style="thin">
        <color rgb="FF092E4C"/>
      </top>
      <bottom style="thin">
        <color rgb="FF000000"/>
      </bottom>
    </border>
    <border>
      <left style="thin">
        <color rgb="FF000000"/>
      </left>
      <right style="thin">
        <color rgb="FF092E4C"/>
      </right>
      <top style="thin">
        <color rgb="FF000000"/>
      </top>
    </border>
    <border>
      <left style="thin">
        <color rgb="FF092E4C"/>
      </left>
      <right style="thin">
        <color rgb="FF092E4C"/>
      </right>
      <top style="thin">
        <color rgb="FF092E4C"/>
      </top>
    </border>
    <border>
      <left style="thin">
        <color rgb="FF000000"/>
      </left>
      <right style="thin">
        <color rgb="FF092E4C"/>
      </right>
    </border>
    <border>
      <left style="thin">
        <color rgb="FF092E4C"/>
      </left>
      <right style="thin">
        <color rgb="FF092E4C"/>
      </right>
    </border>
    <border>
      <left style="thin">
        <color rgb="FF092E4C"/>
      </left>
      <right style="thin">
        <color rgb="FF092E4C"/>
      </right>
      <bottom style="thin">
        <color rgb="FF092E4C"/>
      </bottom>
    </border>
    <border>
      <left style="thin">
        <color rgb="FF000000"/>
      </left>
      <right style="thin">
        <color rgb="FF092E4C"/>
      </right>
      <bottom style="thin">
        <color rgb="FF000000"/>
      </bottom>
    </border>
    <border>
      <left style="thin">
        <color rgb="FF092E4C"/>
      </left>
      <right style="thin">
        <color rgb="FF092E4C"/>
      </right>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9A9A9A"/>
      </right>
      <top style="thin">
        <color rgb="FF000000"/>
      </top>
      <bottom style="thin">
        <color rgb="FF000000"/>
      </bottom>
    </border>
    <border>
      <left style="thin">
        <color rgb="FF000000"/>
      </left>
      <right style="medium">
        <color rgb="FF000000"/>
      </right>
      <top style="thin">
        <color rgb="FF000000"/>
      </top>
      <bottom style="medium">
        <color rgb="FF000000"/>
      </bottom>
    </border>
    <border>
      <left style="thin">
        <color rgb="FF9A9A9A"/>
      </left>
      <right style="medium">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bottom style="thin">
        <color rgb="FFB1B4B6"/>
      </bottom>
    </border>
    <border>
      <left style="thin">
        <color rgb="FF092E4C"/>
      </left>
    </border>
    <border>
      <left style="thin">
        <color rgb="FF000000"/>
      </left>
      <right style="thin">
        <color rgb="FF092E4C"/>
      </right>
      <top style="thin">
        <color rgb="FF000000"/>
      </top>
      <bottom style="thin">
        <color rgb="FF000000"/>
      </bottom>
    </border>
    <border>
      <left style="thin">
        <color rgb="FF000000"/>
      </left>
    </border>
    <border>
      <top style="medium">
        <color rgb="FF000000"/>
      </top>
    </border>
    <border>
      <right style="medium">
        <color rgb="FF000000"/>
      </right>
      <top style="medium">
        <color rgb="FF000000"/>
      </top>
    </border>
    <border>
      <right style="medium">
        <color rgb="FF000000"/>
      </right>
      <top style="thin">
        <color rgb="FF000000"/>
      </top>
    </border>
    <border>
      <left style="medium">
        <color rgb="FF000000"/>
      </left>
    </border>
    <border>
      <right style="thin">
        <color rgb="FF000000"/>
      </right>
    </border>
  </borders>
  <cellStyleXfs count="1">
    <xf numFmtId="0" fontId="0" fillId="0" borderId="0"/>
  </cellStyleXfs>
  <cellXfs count="314">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3" fillId="0" borderId="0" applyAlignment="1" pivotButton="0" quotePrefix="0" xfId="0">
      <alignment wrapText="1"/>
    </xf>
    <xf numFmtId="0" fontId="3" fillId="0" borderId="0" pivotButton="0" quotePrefix="0" xfId="0"/>
    <xf numFmtId="0" fontId="3" fillId="0" borderId="0" applyAlignment="1" pivotButton="0" quotePrefix="0" xfId="0">
      <alignment horizontal="right"/>
    </xf>
    <xf numFmtId="9" fontId="2" fillId="0" borderId="0" pivotButton="0" quotePrefix="0" xfId="0"/>
    <xf numFmtId="2" fontId="3" fillId="0" borderId="0" pivotButton="0" quotePrefix="0" xfId="0"/>
    <xf numFmtId="164" fontId="3" fillId="0" borderId="0" applyAlignment="1" pivotButton="0" quotePrefix="0" xfId="0">
      <alignment vertical="center"/>
    </xf>
    <xf numFmtId="164" fontId="3" fillId="0" borderId="0" pivotButton="0" quotePrefix="0" xfId="0"/>
    <xf numFmtId="164" fontId="3" fillId="0" borderId="0" applyAlignment="1" pivotButton="0" quotePrefix="0" xfId="0">
      <alignment vertical="center"/>
    </xf>
    <xf numFmtId="165" fontId="3" fillId="0" borderId="0" pivotButton="0" quotePrefix="0" xfId="0"/>
    <xf numFmtId="165" fontId="3" fillId="0" borderId="0" pivotButton="0" quotePrefix="0" xfId="0"/>
    <xf numFmtId="164" fontId="3" fillId="0" borderId="0" pivotButton="0" quotePrefix="0" xfId="0"/>
    <xf numFmtId="166" fontId="3" fillId="0" borderId="0" pivotButton="0" quotePrefix="0" xfId="0"/>
    <xf numFmtId="0" fontId="5" fillId="0" borderId="0" applyAlignment="1" pivotButton="0" quotePrefix="0" xfId="0">
      <alignment vertical="bottom"/>
    </xf>
    <xf numFmtId="0" fontId="5" fillId="0" borderId="0" applyAlignment="1" pivotButton="0" quotePrefix="0" xfId="0">
      <alignment horizontal="right" vertical="bottom"/>
    </xf>
    <xf numFmtId="9" fontId="5" fillId="0" borderId="0" applyAlignment="1" pivotButton="0" quotePrefix="0" xfId="0">
      <alignment horizontal="right" vertical="bottom"/>
    </xf>
    <xf numFmtId="0" fontId="5" fillId="0" borderId="0" applyAlignment="1" pivotButton="0" quotePrefix="0" xfId="0">
      <alignment vertical="bottom"/>
    </xf>
    <xf numFmtId="165" fontId="5" fillId="0" borderId="0" applyAlignment="1" pivotButton="0" quotePrefix="0" xfId="0">
      <alignment horizontal="right" vertical="bottom"/>
    </xf>
    <xf numFmtId="164" fontId="5" fillId="0" borderId="0" applyAlignment="1" pivotButton="0" quotePrefix="0" xfId="0">
      <alignment horizontal="right" vertical="bottom"/>
    </xf>
    <xf numFmtId="2" fontId="5" fillId="0" borderId="0" applyAlignment="1" pivotButton="0" quotePrefix="0" xfId="0">
      <alignment vertical="bottom"/>
    </xf>
    <xf numFmtId="0" fontId="6" fillId="0" borderId="0" pivotButton="0" quotePrefix="0" xfId="0"/>
    <xf numFmtId="167" fontId="3" fillId="0" borderId="0" pivotButton="0" quotePrefix="0" xfId="0"/>
    <xf numFmtId="168" fontId="3" fillId="0" borderId="0" pivotButton="0" quotePrefix="0" xfId="0"/>
    <xf numFmtId="169" fontId="3" fillId="0" borderId="0" pivotButton="0" quotePrefix="0" xfId="0"/>
    <xf numFmtId="167" fontId="3" fillId="0" borderId="0" pivotButton="0" quotePrefix="0" xfId="0"/>
    <xf numFmtId="10" fontId="3" fillId="0" borderId="0" pivotButton="0" quotePrefix="0" xfId="0"/>
    <xf numFmtId="165" fontId="7" fillId="0" borderId="0" pivotButton="0" quotePrefix="0" xfId="0"/>
    <xf numFmtId="9" fontId="3" fillId="0" borderId="0" pivotButton="0" quotePrefix="0" xfId="0"/>
    <xf numFmtId="1" fontId="3" fillId="0" borderId="0" pivotButton="0" quotePrefix="0" xfId="0"/>
    <xf numFmtId="4" fontId="3" fillId="0" borderId="0" pivotButton="0" quotePrefix="0" xfId="0"/>
    <xf numFmtId="170" fontId="3" fillId="0" borderId="0" pivotButton="0" quotePrefix="0" xfId="0"/>
    <xf numFmtId="9" fontId="3" fillId="0" borderId="0" pivotButton="0" quotePrefix="0" xfId="0"/>
    <xf numFmtId="167" fontId="3" fillId="2" borderId="0" pivotButton="0" quotePrefix="0" xfId="0"/>
    <xf numFmtId="10" fontId="3" fillId="0" borderId="0" pivotButton="0" quotePrefix="0" xfId="0"/>
    <xf numFmtId="171" fontId="3" fillId="0" borderId="0" pivotButton="0" quotePrefix="0" xfId="0"/>
    <xf numFmtId="172" fontId="3" fillId="0" borderId="0" pivotButton="0" quotePrefix="0" xfId="0"/>
    <xf numFmtId="0" fontId="4" fillId="0" borderId="0" pivotButton="0" quotePrefix="0" xfId="0"/>
    <xf numFmtId="173" fontId="3" fillId="3" borderId="0" pivotButton="0" quotePrefix="0" xfId="0"/>
    <xf numFmtId="3" fontId="3" fillId="4" borderId="0" pivotButton="0" quotePrefix="0" xfId="0"/>
    <xf numFmtId="0" fontId="3" fillId="0" borderId="0" pivotButton="0" quotePrefix="0" xfId="0"/>
    <xf numFmtId="0" fontId="3" fillId="4" borderId="0" pivotButton="0" quotePrefix="0" xfId="0"/>
    <xf numFmtId="174" fontId="3" fillId="0" borderId="0" pivotButton="0" quotePrefix="0" xfId="0"/>
    <xf numFmtId="174" fontId="5" fillId="0" borderId="0" applyAlignment="1" pivotButton="0" quotePrefix="0" xfId="0">
      <alignment horizontal="right" vertical="bottom"/>
    </xf>
    <xf numFmtId="174" fontId="3" fillId="4" borderId="0" pivotButton="0" quotePrefix="0" xfId="0"/>
    <xf numFmtId="174" fontId="3" fillId="0" borderId="0" pivotButton="0" quotePrefix="0" xfId="0"/>
    <xf numFmtId="175" fontId="3" fillId="3" borderId="0" pivotButton="0" quotePrefix="0" xfId="0"/>
    <xf numFmtId="175" fontId="3" fillId="0" borderId="0" pivotButton="0" quotePrefix="0" xfId="0"/>
    <xf numFmtId="0" fontId="3" fillId="0" borderId="0" applyAlignment="1" pivotButton="0" quotePrefix="0" xfId="0">
      <alignment horizontal="center" vertical="center" wrapText="1"/>
    </xf>
    <xf numFmtId="0" fontId="3" fillId="5" borderId="0" pivotButton="0" quotePrefix="0" xfId="0"/>
    <xf numFmtId="165" fontId="8" fillId="0" borderId="0" pivotButton="0" quotePrefix="0" xfId="0"/>
    <xf numFmtId="165" fontId="8" fillId="0" borderId="0" pivotButton="0" quotePrefix="0" xfId="0"/>
    <xf numFmtId="164" fontId="8" fillId="0" borderId="0" pivotButton="0" quotePrefix="0" xfId="0"/>
    <xf numFmtId="164" fontId="8" fillId="0" borderId="0" pivotButton="0" quotePrefix="0" xfId="0"/>
    <xf numFmtId="165" fontId="9" fillId="0" borderId="0" applyAlignment="1" pivotButton="0" quotePrefix="0" xfId="0">
      <alignment horizontal="right" vertical="bottom"/>
    </xf>
    <xf numFmtId="164" fontId="9" fillId="0" borderId="0" applyAlignment="1" pivotButton="0" quotePrefix="0" xfId="0">
      <alignment horizontal="right" vertical="bottom"/>
    </xf>
    <xf numFmtId="0" fontId="8" fillId="0" borderId="0" pivotButton="0" quotePrefix="0" xfId="0"/>
    <xf numFmtId="2" fontId="8" fillId="0" borderId="0" pivotButton="0" quotePrefix="0" xfId="0"/>
    <xf numFmtId="169" fontId="8" fillId="0" borderId="0" pivotButton="0" quotePrefix="0" xfId="0"/>
    <xf numFmtId="168" fontId="8" fillId="0" borderId="0" pivotButton="0" quotePrefix="0" xfId="0"/>
    <xf numFmtId="170" fontId="8" fillId="0" borderId="0" pivotButton="0" quotePrefix="0" xfId="0"/>
    <xf numFmtId="171" fontId="8" fillId="0" borderId="0" pivotButton="0" quotePrefix="0" xfId="0"/>
    <xf numFmtId="172" fontId="8" fillId="0" borderId="0" pivotButton="0" quotePrefix="0" xfId="0"/>
    <xf numFmtId="0" fontId="8" fillId="0" borderId="0" pivotButton="0" quotePrefix="0" xfId="0"/>
    <xf numFmtId="167" fontId="8" fillId="0" borderId="0" pivotButton="0" quotePrefix="0" xfId="0"/>
    <xf numFmtId="10" fontId="8" fillId="0" borderId="0" pivotButton="0" quotePrefix="0" xfId="0"/>
    <xf numFmtId="173" fontId="8" fillId="3" borderId="0" pivotButton="0" quotePrefix="0" xfId="0"/>
    <xf numFmtId="3" fontId="8" fillId="4" borderId="0" pivotButton="0" quotePrefix="0" xfId="0"/>
    <xf numFmtId="10" fontId="8" fillId="0" borderId="0" pivotButton="0" quotePrefix="0" xfId="0"/>
    <xf numFmtId="0" fontId="8" fillId="4" borderId="0" pivotButton="0" quotePrefix="0" xfId="0"/>
    <xf numFmtId="174" fontId="8" fillId="0" borderId="0" pivotButton="0" quotePrefix="0" xfId="0"/>
    <xf numFmtId="174" fontId="9" fillId="0" borderId="0" applyAlignment="1" pivotButton="0" quotePrefix="0" xfId="0">
      <alignment horizontal="right" vertical="bottom"/>
    </xf>
    <xf numFmtId="174" fontId="8" fillId="4" borderId="0" pivotButton="0" quotePrefix="0" xfId="0"/>
    <xf numFmtId="175" fontId="8" fillId="3" borderId="0" pivotButton="0" quotePrefix="0" xfId="0"/>
    <xf numFmtId="175" fontId="8" fillId="0" borderId="0" pivotButton="0" quotePrefix="0" xfId="0"/>
    <xf numFmtId="0" fontId="8" fillId="5" borderId="0" pivotButton="0" quotePrefix="0" xfId="0"/>
    <xf numFmtId="0" fontId="3" fillId="6" borderId="1" applyAlignment="1" pivotButton="0" quotePrefix="0" xfId="0">
      <alignment vertical="bottom"/>
    </xf>
    <xf numFmtId="0" fontId="10" fillId="6" borderId="2" applyAlignment="1" pivotButton="0" quotePrefix="0" xfId="0">
      <alignment vertical="bottom"/>
    </xf>
    <xf numFmtId="0" fontId="3" fillId="6" borderId="2" applyAlignment="1" pivotButton="0" quotePrefix="0" xfId="0">
      <alignment vertical="bottom"/>
    </xf>
    <xf numFmtId="0" fontId="3" fillId="6" borderId="3" applyAlignment="1" pivotButton="0" quotePrefix="0" xfId="0">
      <alignment vertical="bottom"/>
    </xf>
    <xf numFmtId="0" fontId="3" fillId="6" borderId="4" applyAlignment="1" pivotButton="0" quotePrefix="0" xfId="0">
      <alignment vertical="bottom"/>
    </xf>
    <xf numFmtId="0" fontId="3" fillId="6" borderId="5" applyAlignment="1" pivotButton="0" quotePrefix="0" xfId="0">
      <alignment vertical="bottom"/>
    </xf>
    <xf numFmtId="0" fontId="3" fillId="6" borderId="6" applyAlignment="1" pivotButton="0" quotePrefix="0" xfId="0">
      <alignment vertical="bottom"/>
    </xf>
    <xf numFmtId="0" fontId="11" fillId="6" borderId="7" applyAlignment="1" pivotButton="0" quotePrefix="0" xfId="0">
      <alignment vertical="top"/>
    </xf>
    <xf numFmtId="0" fontId="12" fillId="0" borderId="8" pivotButton="0" quotePrefix="0" xfId="0"/>
    <xf numFmtId="0" fontId="12" fillId="0" borderId="9" pivotButton="0" quotePrefix="0" xfId="0"/>
    <xf numFmtId="0" fontId="11" fillId="6" borderId="7" applyAlignment="1" pivotButton="0" quotePrefix="0" xfId="0">
      <alignment vertical="bottom"/>
    </xf>
    <xf numFmtId="0" fontId="13" fillId="6" borderId="7" applyAlignment="1" pivotButton="0" quotePrefix="0" xfId="0">
      <alignment horizontal="center" vertical="bottom"/>
    </xf>
    <xf numFmtId="0" fontId="13" fillId="6" borderId="7" applyAlignment="1" pivotButton="0" quotePrefix="0" xfId="0">
      <alignment horizontal="center" vertical="top"/>
    </xf>
    <xf numFmtId="0" fontId="11" fillId="6" borderId="7" applyAlignment="1" pivotButton="0" quotePrefix="0" xfId="0">
      <alignment horizontal="center" vertical="bottom"/>
    </xf>
    <xf numFmtId="0" fontId="11" fillId="6" borderId="5" applyAlignment="1" pivotButton="0" quotePrefix="0" xfId="0">
      <alignment horizontal="center" vertical="bottom"/>
    </xf>
    <xf numFmtId="0" fontId="3" fillId="6" borderId="4" applyAlignment="1" pivotButton="0" quotePrefix="0" xfId="0">
      <alignment vertical="top"/>
    </xf>
    <xf numFmtId="0" fontId="11" fillId="6" borderId="5" applyAlignment="1" pivotButton="0" quotePrefix="0" xfId="0">
      <alignment vertical="top"/>
    </xf>
    <xf numFmtId="0" fontId="3" fillId="6" borderId="5" applyAlignment="1" pivotButton="0" quotePrefix="0" xfId="0">
      <alignment vertical="top"/>
    </xf>
    <xf numFmtId="0" fontId="3" fillId="6" borderId="6" applyAlignment="1" pivotButton="0" quotePrefix="0" xfId="0">
      <alignment vertical="top"/>
    </xf>
    <xf numFmtId="0" fontId="11" fillId="6" borderId="5" applyAlignment="1" pivotButton="0" quotePrefix="0" xfId="0">
      <alignment horizontal="right" vertical="top"/>
    </xf>
    <xf numFmtId="3" fontId="11" fillId="6" borderId="5" applyAlignment="1" pivotButton="0" quotePrefix="0" xfId="0">
      <alignment horizontal="right" vertical="top"/>
    </xf>
    <xf numFmtId="0" fontId="11" fillId="6" borderId="5" applyAlignment="1" pivotButton="0" quotePrefix="0" xfId="0">
      <alignment vertical="bottom"/>
    </xf>
    <xf numFmtId="0" fontId="11" fillId="6" borderId="5" applyAlignment="1" pivotButton="0" quotePrefix="0" xfId="0">
      <alignment horizontal="right" vertical="bottom"/>
    </xf>
    <xf numFmtId="3" fontId="11" fillId="6" borderId="5" applyAlignment="1" pivotButton="0" quotePrefix="0" xfId="0">
      <alignment horizontal="right" vertical="bottom"/>
    </xf>
    <xf numFmtId="3" fontId="11" fillId="6" borderId="5" applyAlignment="1" pivotButton="0" quotePrefix="0" xfId="0">
      <alignment vertical="bottom"/>
    </xf>
    <xf numFmtId="176" fontId="11" fillId="6" borderId="5" applyAlignment="1" pivotButton="0" quotePrefix="0" xfId="0">
      <alignment vertical="bottom"/>
    </xf>
    <xf numFmtId="177" fontId="11" fillId="6" borderId="5" applyAlignment="1" pivotButton="0" quotePrefix="0" xfId="0">
      <alignment vertical="bottom"/>
    </xf>
    <xf numFmtId="0" fontId="13" fillId="6" borderId="5" applyAlignment="1" pivotButton="0" quotePrefix="0" xfId="0">
      <alignment vertical="bottom"/>
    </xf>
    <xf numFmtId="0" fontId="14" fillId="0" borderId="7" applyAlignment="1" pivotButton="0" quotePrefix="0" xfId="0">
      <alignment vertical="top"/>
    </xf>
    <xf numFmtId="0" fontId="15" fillId="6" borderId="5" applyAlignment="1" pivotButton="0" quotePrefix="0" xfId="0">
      <alignment horizontal="right" vertical="top"/>
    </xf>
    <xf numFmtId="0" fontId="3" fillId="6" borderId="10" applyAlignment="1" pivotButton="0" quotePrefix="0" xfId="0">
      <alignment vertical="bottom"/>
    </xf>
    <xf numFmtId="0" fontId="3" fillId="6" borderId="11" applyAlignment="1" pivotButton="0" quotePrefix="0" xfId="0">
      <alignment vertical="bottom"/>
    </xf>
    <xf numFmtId="0" fontId="3" fillId="6" borderId="12" applyAlignment="1" pivotButton="0" quotePrefix="0" xfId="0">
      <alignment vertical="bottom"/>
    </xf>
    <xf numFmtId="0" fontId="16" fillId="6" borderId="0" applyAlignment="1" pivotButton="0" quotePrefix="0" xfId="0">
      <alignment vertical="bottom"/>
    </xf>
    <xf numFmtId="0" fontId="17" fillId="0" borderId="0" applyAlignment="1" pivotButton="0" quotePrefix="0" xfId="0">
      <alignment vertical="bottom"/>
    </xf>
    <xf numFmtId="0" fontId="3" fillId="0" borderId="0" applyAlignment="1" pivotButton="0" quotePrefix="0" xfId="0">
      <alignment vertical="bottom"/>
    </xf>
    <xf numFmtId="0" fontId="18" fillId="6" borderId="0" applyAlignment="1" pivotButton="0" quotePrefix="0" xfId="0">
      <alignment vertical="bottom"/>
    </xf>
    <xf numFmtId="0" fontId="18" fillId="6" borderId="13" applyAlignment="1" pivotButton="0" quotePrefix="0" xfId="0">
      <alignment vertical="bottom"/>
    </xf>
    <xf numFmtId="0" fontId="17" fillId="0" borderId="13" applyAlignment="1" pivotButton="0" quotePrefix="0" xfId="0">
      <alignment vertical="bottom"/>
    </xf>
    <xf numFmtId="0" fontId="17" fillId="7" borderId="13" applyAlignment="1" pivotButton="0" quotePrefix="0" xfId="0">
      <alignment vertical="bottom"/>
    </xf>
    <xf numFmtId="0" fontId="18" fillId="7" borderId="13" applyAlignment="1" pivotButton="0" quotePrefix="0" xfId="0">
      <alignment vertical="bottom"/>
    </xf>
    <xf numFmtId="0" fontId="3" fillId="0" borderId="14" applyAlignment="1" pivotButton="0" quotePrefix="0" xfId="0">
      <alignment vertical="bottom"/>
    </xf>
    <xf numFmtId="0" fontId="3" fillId="0" borderId="5" applyAlignment="1" pivotButton="0" quotePrefix="0" xfId="0">
      <alignment vertical="bottom"/>
    </xf>
    <xf numFmtId="0" fontId="3" fillId="0" borderId="6" applyAlignment="1" pivotButton="0" quotePrefix="0" xfId="0">
      <alignment vertical="bottom"/>
    </xf>
    <xf numFmtId="0" fontId="3" fillId="0" borderId="13" applyAlignment="1" pivotButton="0" quotePrefix="0" xfId="0">
      <alignment vertical="bottom"/>
    </xf>
    <xf numFmtId="0" fontId="18" fillId="0" borderId="15" applyAlignment="1" pivotButton="0" quotePrefix="0" xfId="0">
      <alignment vertical="bottom"/>
    </xf>
    <xf numFmtId="0" fontId="18" fillId="0" borderId="13" applyAlignment="1" pivotButton="0" quotePrefix="0" xfId="0">
      <alignment vertical="bottom"/>
    </xf>
    <xf numFmtId="0" fontId="18" fillId="7" borderId="16" pivotButton="0" quotePrefix="0" xfId="0"/>
    <xf numFmtId="0" fontId="18" fillId="7" borderId="17" pivotButton="0" quotePrefix="0" xfId="0"/>
    <xf numFmtId="0" fontId="18" fillId="0" borderId="13" applyAlignment="1" pivotButton="0" quotePrefix="0" xfId="0">
      <alignment horizontal="center" vertical="bottom"/>
    </xf>
    <xf numFmtId="0" fontId="3" fillId="6" borderId="14" applyAlignment="1" pivotButton="0" quotePrefix="0" xfId="0">
      <alignment vertical="top"/>
    </xf>
    <xf numFmtId="0" fontId="12" fillId="0" borderId="18" pivotButton="0" quotePrefix="0" xfId="0"/>
    <xf numFmtId="0" fontId="12" fillId="0" borderId="19" pivotButton="0" quotePrefix="0" xfId="0"/>
    <xf numFmtId="0" fontId="12" fillId="0" borderId="20" pivotButton="0" quotePrefix="0" xfId="0"/>
    <xf numFmtId="0" fontId="3" fillId="6" borderId="13" pivotButton="0" quotePrefix="0" xfId="0"/>
    <xf numFmtId="0" fontId="12" fillId="0" borderId="21" pivotButton="0" quotePrefix="0" xfId="0"/>
    <xf numFmtId="0" fontId="12" fillId="0" borderId="22" pivotButton="0" quotePrefix="0" xfId="0"/>
    <xf numFmtId="0" fontId="19" fillId="0" borderId="0" pivotButton="0" quotePrefix="0" xfId="0"/>
    <xf numFmtId="0" fontId="20" fillId="6" borderId="5" applyAlignment="1" pivotButton="0" quotePrefix="0" xfId="0">
      <alignment vertical="bottom"/>
    </xf>
    <xf numFmtId="0" fontId="21" fillId="6" borderId="7" applyAlignment="1" pivotButton="0" quotePrefix="0" xfId="0">
      <alignment vertical="bottom"/>
    </xf>
    <xf numFmtId="0" fontId="21" fillId="6" borderId="8" applyAlignment="1" pivotButton="0" quotePrefix="0" xfId="0">
      <alignment vertical="bottom"/>
    </xf>
    <xf numFmtId="0" fontId="21" fillId="6" borderId="9" applyAlignment="1" pivotButton="0" quotePrefix="0" xfId="0">
      <alignment vertical="bottom"/>
    </xf>
    <xf numFmtId="0" fontId="3" fillId="6" borderId="23" applyAlignment="1" pivotButton="0" quotePrefix="0" xfId="0">
      <alignment vertical="bottom"/>
    </xf>
    <xf numFmtId="0" fontId="3" fillId="6" borderId="24" applyAlignment="1" pivotButton="0" quotePrefix="0" xfId="0">
      <alignment vertical="bottom"/>
    </xf>
    <xf numFmtId="0" fontId="22" fillId="8" borderId="25" applyAlignment="1" pivotButton="0" quotePrefix="0" xfId="0">
      <alignment horizontal="center" vertical="bottom"/>
    </xf>
    <xf numFmtId="0" fontId="12" fillId="0" borderId="26" pivotButton="0" quotePrefix="0" xfId="0"/>
    <xf numFmtId="0" fontId="12" fillId="0" borderId="27" pivotButton="0" quotePrefix="0" xfId="0"/>
    <xf numFmtId="0" fontId="3" fillId="6" borderId="28" applyAlignment="1" pivotButton="0" quotePrefix="0" xfId="0">
      <alignment vertical="bottom"/>
    </xf>
    <xf numFmtId="0" fontId="3" fillId="6" borderId="29" applyAlignment="1" pivotButton="0" quotePrefix="0" xfId="0">
      <alignment vertical="bottom"/>
    </xf>
    <xf numFmtId="0" fontId="3" fillId="6" borderId="30" applyAlignment="1" pivotButton="0" quotePrefix="0" xfId="0">
      <alignment vertical="bottom"/>
    </xf>
    <xf numFmtId="0" fontId="23" fillId="9" borderId="25" applyAlignment="1" pivotButton="0" quotePrefix="0" xfId="0">
      <alignment horizontal="center" vertical="bottom"/>
    </xf>
    <xf numFmtId="0" fontId="3" fillId="6" borderId="31" applyAlignment="1" pivotButton="0" quotePrefix="0" xfId="0">
      <alignment vertical="bottom"/>
    </xf>
    <xf numFmtId="0" fontId="22" fillId="8" borderId="32" applyAlignment="1" pivotButton="0" quotePrefix="0" xfId="0">
      <alignment horizontal="center" vertical="bottom"/>
    </xf>
    <xf numFmtId="0" fontId="17" fillId="10" borderId="33" applyAlignment="1" pivotButton="0" quotePrefix="0" xfId="0">
      <alignment horizontal="center" vertical="bottom"/>
    </xf>
    <xf numFmtId="0" fontId="17" fillId="10" borderId="34" applyAlignment="1" pivotButton="0" quotePrefix="0" xfId="0">
      <alignment horizontal="center" vertical="bottom"/>
    </xf>
    <xf numFmtId="0" fontId="17" fillId="10" borderId="35" applyAlignment="1" pivotButton="0" quotePrefix="0" xfId="0">
      <alignment horizontal="center" vertical="bottom"/>
    </xf>
    <xf numFmtId="0" fontId="17" fillId="10" borderId="36" applyAlignment="1" pivotButton="0" quotePrefix="0" xfId="0">
      <alignment horizontal="center" vertical="bottom"/>
    </xf>
    <xf numFmtId="0" fontId="17" fillId="6" borderId="37" applyAlignment="1" pivotButton="0" quotePrefix="0" xfId="0">
      <alignment horizontal="center" vertical="bottom"/>
    </xf>
    <xf numFmtId="0" fontId="17" fillId="6" borderId="38" applyAlignment="1" pivotButton="0" quotePrefix="0" xfId="0">
      <alignment horizontal="center" vertical="bottom"/>
    </xf>
    <xf numFmtId="0" fontId="17" fillId="6" borderId="39" applyAlignment="1" pivotButton="0" quotePrefix="0" xfId="0">
      <alignment horizontal="center" vertical="bottom"/>
    </xf>
    <xf numFmtId="0" fontId="17" fillId="10" borderId="28" applyAlignment="1" pivotButton="0" quotePrefix="0" xfId="0">
      <alignment horizontal="center" vertical="bottom"/>
    </xf>
    <xf numFmtId="0" fontId="17" fillId="6" borderId="40" applyAlignment="1" pivotButton="0" quotePrefix="0" xfId="0">
      <alignment horizontal="center" vertical="bottom"/>
    </xf>
    <xf numFmtId="0" fontId="17" fillId="6" borderId="5" applyAlignment="1" pivotButton="0" quotePrefix="0" xfId="0">
      <alignment horizontal="center" vertical="bottom"/>
    </xf>
    <xf numFmtId="0" fontId="17" fillId="6" borderId="24" applyAlignment="1" pivotButton="0" quotePrefix="0" xfId="0">
      <alignment horizontal="center" vertical="bottom"/>
    </xf>
    <xf numFmtId="0" fontId="17" fillId="10" borderId="41" applyAlignment="1" pivotButton="0" quotePrefix="0" xfId="0">
      <alignment horizontal="center" vertical="bottom"/>
    </xf>
    <xf numFmtId="0" fontId="17" fillId="6" borderId="42" applyAlignment="1" pivotButton="0" quotePrefix="0" xfId="0">
      <alignment horizontal="center" vertical="bottom"/>
    </xf>
    <xf numFmtId="0" fontId="17" fillId="6" borderId="23" applyAlignment="1" pivotButton="0" quotePrefix="0" xfId="0">
      <alignment horizontal="center" vertical="bottom"/>
    </xf>
    <xf numFmtId="0" fontId="17" fillId="6" borderId="30" applyAlignment="1" pivotButton="0" quotePrefix="0" xfId="0">
      <alignment horizontal="center" vertical="bottom"/>
    </xf>
    <xf numFmtId="0" fontId="3" fillId="6" borderId="38" applyAlignment="1" pivotButton="0" quotePrefix="0" xfId="0">
      <alignment vertical="bottom"/>
    </xf>
    <xf numFmtId="0" fontId="23" fillId="6" borderId="5" applyAlignment="1" pivotButton="0" quotePrefix="0" xfId="0">
      <alignment vertical="bottom"/>
    </xf>
    <xf numFmtId="0" fontId="3" fillId="6" borderId="5" applyAlignment="1" pivotButton="0" quotePrefix="0" xfId="0">
      <alignment vertical="bottom"/>
    </xf>
    <xf numFmtId="0" fontId="17" fillId="6" borderId="5" applyAlignment="1" pivotButton="0" quotePrefix="0" xfId="0">
      <alignment vertical="bottom"/>
    </xf>
    <xf numFmtId="0" fontId="24" fillId="6" borderId="5" applyAlignment="1" pivotButton="0" quotePrefix="0" xfId="0">
      <alignment vertical="bottom"/>
    </xf>
    <xf numFmtId="0" fontId="25" fillId="11" borderId="5" applyAlignment="1" pivotButton="0" quotePrefix="0" xfId="0">
      <alignment vertical="top"/>
    </xf>
    <xf numFmtId="0" fontId="25" fillId="12" borderId="5" applyAlignment="1" pivotButton="0" quotePrefix="0" xfId="0">
      <alignment vertical="top"/>
    </xf>
    <xf numFmtId="0" fontId="26" fillId="0" borderId="5" applyAlignment="1" pivotButton="0" quotePrefix="0" xfId="0">
      <alignment vertical="top"/>
    </xf>
    <xf numFmtId="0" fontId="27" fillId="6" borderId="5" applyAlignment="1" pivotButton="0" quotePrefix="0" xfId="0">
      <alignment vertical="bottom"/>
    </xf>
    <xf numFmtId="0" fontId="28" fillId="6" borderId="7" applyAlignment="1" pivotButton="0" quotePrefix="0" xfId="0">
      <alignment vertical="bottom"/>
    </xf>
    <xf numFmtId="0" fontId="17" fillId="6" borderId="7" applyAlignment="1" pivotButton="0" quotePrefix="0" xfId="0">
      <alignment vertical="bottom"/>
    </xf>
    <xf numFmtId="0" fontId="23" fillId="6" borderId="7" applyAlignment="1" pivotButton="0" quotePrefix="0" xfId="0">
      <alignment vertical="bottom"/>
    </xf>
    <xf numFmtId="0" fontId="3" fillId="13" borderId="43" pivotButton="0" quotePrefix="0" xfId="0"/>
    <xf numFmtId="0" fontId="22" fillId="13" borderId="25" applyAlignment="1" pivotButton="0" quotePrefix="0" xfId="0">
      <alignment horizontal="center" vertical="bottom"/>
    </xf>
    <xf numFmtId="0" fontId="3" fillId="6" borderId="40" applyAlignment="1" pivotButton="0" quotePrefix="0" xfId="0">
      <alignment vertical="bottom"/>
    </xf>
    <xf numFmtId="0" fontId="3" fillId="13" borderId="44" pivotButton="0" quotePrefix="0" xfId="0"/>
    <xf numFmtId="0" fontId="23" fillId="9" borderId="45" applyAlignment="1" pivotButton="0" quotePrefix="0" xfId="0">
      <alignment horizontal="center" vertical="bottom"/>
    </xf>
    <xf numFmtId="0" fontId="12" fillId="0" borderId="46" pivotButton="0" quotePrefix="0" xfId="0"/>
    <xf numFmtId="0" fontId="23" fillId="9" borderId="43" applyAlignment="1" pivotButton="0" quotePrefix="0" xfId="0">
      <alignment horizontal="center"/>
    </xf>
    <xf numFmtId="0" fontId="3" fillId="6" borderId="40" pivotButton="0" quotePrefix="0" xfId="0"/>
    <xf numFmtId="0" fontId="3" fillId="13" borderId="47" pivotButton="0" quotePrefix="0" xfId="0"/>
    <xf numFmtId="0" fontId="17" fillId="10" borderId="42" applyAlignment="1" pivotButton="0" quotePrefix="0" xfId="0">
      <alignment horizontal="center" vertical="bottom"/>
    </xf>
    <xf numFmtId="0" fontId="17" fillId="10" borderId="23" applyAlignment="1" pivotButton="0" quotePrefix="0" xfId="0">
      <alignment horizontal="center" vertical="bottom"/>
    </xf>
    <xf numFmtId="0" fontId="17" fillId="10" borderId="30" applyAlignment="1" pivotButton="0" quotePrefix="0" xfId="0">
      <alignment horizontal="center" vertical="bottom"/>
    </xf>
    <xf numFmtId="0" fontId="12" fillId="0" borderId="47" pivotButton="0" quotePrefix="0" xfId="0"/>
    <xf numFmtId="0" fontId="17" fillId="14" borderId="42" applyAlignment="1" pivotButton="0" quotePrefix="0" xfId="0">
      <alignment horizontal="center" vertical="bottom"/>
    </xf>
    <xf numFmtId="0" fontId="17" fillId="14" borderId="23" applyAlignment="1" pivotButton="0" quotePrefix="0" xfId="0">
      <alignment horizontal="center" vertical="bottom"/>
    </xf>
    <xf numFmtId="0" fontId="17" fillId="14" borderId="30" applyAlignment="1" pivotButton="0" quotePrefix="0" xfId="0">
      <alignment horizontal="center" vertical="bottom"/>
    </xf>
    <xf numFmtId="0" fontId="3" fillId="6" borderId="5" pivotButton="0" quotePrefix="0" xfId="0"/>
    <xf numFmtId="0" fontId="23" fillId="10" borderId="36" applyAlignment="1" pivotButton="0" quotePrefix="0" xfId="0">
      <alignment horizontal="center"/>
    </xf>
    <xf numFmtId="0" fontId="17" fillId="15" borderId="37" applyAlignment="1" pivotButton="0" quotePrefix="0" xfId="0">
      <alignment horizontal="center"/>
    </xf>
    <xf numFmtId="0" fontId="17" fillId="15" borderId="38" applyAlignment="1" pivotButton="0" quotePrefix="0" xfId="0">
      <alignment horizontal="center"/>
    </xf>
    <xf numFmtId="0" fontId="17" fillId="15" borderId="39" applyAlignment="1" pivotButton="0" quotePrefix="0" xfId="0">
      <alignment horizontal="center"/>
    </xf>
    <xf numFmtId="0" fontId="17" fillId="6" borderId="36" applyAlignment="1" pivotButton="0" quotePrefix="0" xfId="0">
      <alignment horizontal="center"/>
    </xf>
    <xf numFmtId="0" fontId="23" fillId="10" borderId="28" applyAlignment="1" pivotButton="0" quotePrefix="0" xfId="0">
      <alignment horizontal="center"/>
    </xf>
    <xf numFmtId="0" fontId="17" fillId="15" borderId="40" applyAlignment="1" pivotButton="0" quotePrefix="0" xfId="0">
      <alignment horizontal="center"/>
    </xf>
    <xf numFmtId="0" fontId="17" fillId="15" borderId="5" applyAlignment="1" pivotButton="0" quotePrefix="0" xfId="0">
      <alignment horizontal="center"/>
    </xf>
    <xf numFmtId="0" fontId="17" fillId="15" borderId="24" applyAlignment="1" pivotButton="0" quotePrefix="0" xfId="0">
      <alignment horizontal="center"/>
    </xf>
    <xf numFmtId="0" fontId="17" fillId="6" borderId="28" applyAlignment="1" pivotButton="0" quotePrefix="0" xfId="0">
      <alignment horizontal="center"/>
    </xf>
    <xf numFmtId="0" fontId="17" fillId="6" borderId="28" applyAlignment="1" pivotButton="0" quotePrefix="0" xfId="0">
      <alignment horizontal="center" vertical="bottom"/>
    </xf>
    <xf numFmtId="0" fontId="23" fillId="10" borderId="41" applyAlignment="1" pivotButton="0" quotePrefix="0" xfId="0">
      <alignment horizontal="center"/>
    </xf>
    <xf numFmtId="0" fontId="17" fillId="15" borderId="42" applyAlignment="1" pivotButton="0" quotePrefix="0" xfId="0">
      <alignment horizontal="center"/>
    </xf>
    <xf numFmtId="0" fontId="17" fillId="15" borderId="23" applyAlignment="1" pivotButton="0" quotePrefix="0" xfId="0">
      <alignment horizontal="center"/>
    </xf>
    <xf numFmtId="0" fontId="17" fillId="15" borderId="30" applyAlignment="1" pivotButton="0" quotePrefix="0" xfId="0">
      <alignment horizontal="center"/>
    </xf>
    <xf numFmtId="0" fontId="17" fillId="6" borderId="41" applyAlignment="1" pivotButton="0" quotePrefix="0" xfId="0">
      <alignment horizontal="center"/>
    </xf>
    <xf numFmtId="0" fontId="23" fillId="6" borderId="5" pivotButton="0" quotePrefix="0" xfId="0"/>
    <xf numFmtId="0" fontId="23" fillId="6" borderId="6" applyAlignment="1" pivotButton="0" quotePrefix="0" xfId="0">
      <alignment vertical="bottom"/>
    </xf>
    <xf numFmtId="0" fontId="3" fillId="6" borderId="1" applyAlignment="1" pivotButton="0" quotePrefix="0" xfId="0">
      <alignment vertical="bottom"/>
    </xf>
    <xf numFmtId="0" fontId="17" fillId="6" borderId="48" applyAlignment="1" pivotButton="0" quotePrefix="0" xfId="0">
      <alignment vertical="bottom"/>
    </xf>
    <xf numFmtId="0" fontId="12" fillId="0" borderId="49" pivotButton="0" quotePrefix="0" xfId="0"/>
    <xf numFmtId="0" fontId="12" fillId="0" borderId="50" pivotButton="0" quotePrefix="0" xfId="0"/>
    <xf numFmtId="0" fontId="12" fillId="0" borderId="51" pivotButton="0" quotePrefix="0" xfId="0"/>
    <xf numFmtId="0" fontId="12" fillId="0" borderId="52" pivotButton="0" quotePrefix="0" xfId="0"/>
    <xf numFmtId="0" fontId="12" fillId="0" borderId="53" pivotButton="0" quotePrefix="0" xfId="0"/>
    <xf numFmtId="0" fontId="3" fillId="6" borderId="7" applyAlignment="1" pivotButton="0" quotePrefix="0" xfId="0">
      <alignment vertical="bottom"/>
    </xf>
    <xf numFmtId="0" fontId="29" fillId="13" borderId="5" applyAlignment="1" pivotButton="0" quotePrefix="0" xfId="0">
      <alignment horizontal="center" vertical="bottom"/>
    </xf>
    <xf numFmtId="0" fontId="30" fillId="13" borderId="5" applyAlignment="1" pivotButton="0" quotePrefix="0" xfId="0">
      <alignment vertical="bottom"/>
    </xf>
    <xf numFmtId="0" fontId="31" fillId="10" borderId="5" applyAlignment="1" pivotButton="0" quotePrefix="0" xfId="0">
      <alignment vertical="bottom"/>
    </xf>
    <xf numFmtId="0" fontId="3" fillId="10" borderId="5" applyAlignment="1" pivotButton="0" quotePrefix="0" xfId="0">
      <alignment vertical="bottom"/>
    </xf>
    <xf numFmtId="0" fontId="32" fillId="16" borderId="5" applyAlignment="1" pivotButton="0" quotePrefix="0" xfId="0">
      <alignment vertical="bottom"/>
    </xf>
    <xf numFmtId="0" fontId="17" fillId="6" borderId="5" applyAlignment="1" pivotButton="0" quotePrefix="0" xfId="0">
      <alignment horizontal="center"/>
    </xf>
    <xf numFmtId="0" fontId="17" fillId="6" borderId="24" applyAlignment="1" pivotButton="0" quotePrefix="0" xfId="0">
      <alignment horizontal="center"/>
    </xf>
    <xf numFmtId="0" fontId="17" fillId="6" borderId="23" applyAlignment="1" pivotButton="0" quotePrefix="0" xfId="0">
      <alignment horizontal="center"/>
    </xf>
    <xf numFmtId="0" fontId="17" fillId="6" borderId="30" applyAlignment="1" pivotButton="0" quotePrefix="0" xfId="0">
      <alignment horizontal="center"/>
    </xf>
    <xf numFmtId="0" fontId="3" fillId="6" borderId="34" applyAlignment="1" pivotButton="0" quotePrefix="0" xfId="0">
      <alignment vertical="bottom"/>
    </xf>
    <xf numFmtId="0" fontId="3" fillId="6" borderId="39" applyAlignment="1" pivotButton="0" quotePrefix="0" xfId="0">
      <alignment vertical="bottom"/>
    </xf>
    <xf numFmtId="0" fontId="17" fillId="6" borderId="24" applyAlignment="1" pivotButton="0" quotePrefix="0" xfId="0">
      <alignment vertical="bottom"/>
    </xf>
    <xf numFmtId="0" fontId="32" fillId="10" borderId="5" applyAlignment="1" pivotButton="0" quotePrefix="0" xfId="0">
      <alignment vertical="bottom"/>
    </xf>
    <xf numFmtId="0" fontId="32" fillId="6" borderId="5" applyAlignment="1" pivotButton="0" quotePrefix="0" xfId="0">
      <alignment vertical="bottom"/>
    </xf>
    <xf numFmtId="0" fontId="32" fillId="6" borderId="24" applyAlignment="1" pivotButton="0" quotePrefix="0" xfId="0">
      <alignment vertical="bottom"/>
    </xf>
    <xf numFmtId="0" fontId="32" fillId="6" borderId="23" applyAlignment="1" pivotButton="0" quotePrefix="0" xfId="0">
      <alignment vertical="bottom"/>
    </xf>
    <xf numFmtId="0" fontId="32" fillId="6" borderId="30" applyAlignment="1" pivotButton="0" quotePrefix="0" xfId="0">
      <alignment vertical="bottom"/>
    </xf>
    <xf numFmtId="0" fontId="23" fillId="6" borderId="5" applyAlignment="1" pivotButton="0" quotePrefix="0" xfId="0">
      <alignment vertical="top"/>
    </xf>
    <xf numFmtId="0" fontId="17" fillId="6" borderId="5" pivotButton="0" quotePrefix="0" xfId="0"/>
    <xf numFmtId="0" fontId="33" fillId="0" borderId="5" pivotButton="0" quotePrefix="0" xfId="0"/>
    <xf numFmtId="0" fontId="34" fillId="6" borderId="5" applyAlignment="1" pivotButton="0" quotePrefix="0" xfId="0">
      <alignment vertical="bottom"/>
    </xf>
    <xf numFmtId="0" fontId="35" fillId="6" borderId="5" applyAlignment="1" pivotButton="0" quotePrefix="0" xfId="0">
      <alignment vertical="bottom"/>
    </xf>
    <xf numFmtId="0" fontId="36" fillId="0" borderId="5" applyAlignment="1" pivotButton="0" quotePrefix="0" xfId="0">
      <alignment vertical="bottom"/>
    </xf>
    <xf numFmtId="0" fontId="3" fillId="6" borderId="48" applyAlignment="1" pivotButton="0" quotePrefix="0" xfId="0">
      <alignment vertical="bottom"/>
    </xf>
    <xf numFmtId="0" fontId="3" fillId="6" borderId="54" applyAlignment="1" pivotButton="0" quotePrefix="0" xfId="0">
      <alignment vertical="bottom"/>
    </xf>
    <xf numFmtId="0" fontId="12" fillId="0" borderId="55" pivotButton="0" quotePrefix="0" xfId="0"/>
    <xf numFmtId="0" fontId="12" fillId="0" borderId="56" pivotButton="0" quotePrefix="0" xfId="0"/>
    <xf numFmtId="0" fontId="3" fillId="6" borderId="33" applyAlignment="1" pivotButton="0" quotePrefix="0" xfId="0">
      <alignment vertical="bottom"/>
    </xf>
    <xf numFmtId="0" fontId="37" fillId="6" borderId="0" pivotButton="0" quotePrefix="0" xfId="0"/>
    <xf numFmtId="0" fontId="37" fillId="6" borderId="0" pivotButton="0" quotePrefix="0" xfId="0"/>
    <xf numFmtId="0" fontId="38" fillId="6" borderId="57" applyAlignment="1" pivotButton="0" quotePrefix="0" xfId="0">
      <alignment horizontal="left" vertical="top"/>
    </xf>
    <xf numFmtId="0" fontId="38" fillId="6" borderId="57" applyAlignment="1" pivotButton="0" quotePrefix="0" xfId="0">
      <alignment horizontal="right" vertical="top"/>
    </xf>
    <xf numFmtId="0" fontId="37" fillId="6" borderId="57" applyAlignment="1" pivotButton="0" quotePrefix="0" xfId="0">
      <alignment vertical="top"/>
    </xf>
    <xf numFmtId="0" fontId="37" fillId="6" borderId="57" applyAlignment="1" pivotButton="0" quotePrefix="0" xfId="0">
      <alignment vertical="top"/>
    </xf>
    <xf numFmtId="0" fontId="37" fillId="6" borderId="57" applyAlignment="1" pivotButton="0" quotePrefix="0" xfId="0">
      <alignment horizontal="right" vertical="top"/>
    </xf>
    <xf numFmtId="178" fontId="3" fillId="0" borderId="0" pivotButton="0" quotePrefix="0" xfId="0"/>
    <xf numFmtId="0" fontId="3" fillId="0" borderId="0" applyAlignment="1" pivotButton="0" quotePrefix="0" xfId="0">
      <alignment horizontal="center"/>
    </xf>
    <xf numFmtId="0" fontId="5" fillId="0" borderId="0" applyAlignment="1" pivotButton="0" quotePrefix="0" xfId="0">
      <alignment vertical="bottom"/>
    </xf>
    <xf numFmtId="179" fontId="3" fillId="0" borderId="0" pivotButton="0" quotePrefix="0" xfId="0"/>
    <xf numFmtId="180" fontId="3" fillId="0" borderId="0" pivotButton="0" quotePrefix="0" xfId="0"/>
    <xf numFmtId="0" fontId="3" fillId="0" borderId="0" pivotButton="0" quotePrefix="0" xfId="0"/>
    <xf numFmtId="178" fontId="5" fillId="0" borderId="0" applyAlignment="1" pivotButton="0" quotePrefix="0" xfId="0">
      <alignment horizontal="right" vertical="bottom"/>
    </xf>
    <xf numFmtId="2" fontId="5" fillId="0" borderId="0" applyAlignment="1" pivotButton="0" quotePrefix="0" xfId="0">
      <alignment horizontal="right" vertical="bottom"/>
    </xf>
    <xf numFmtId="0" fontId="5" fillId="0" borderId="0" applyAlignment="1" pivotButton="0" quotePrefix="0" xfId="0">
      <alignment horizontal="center" vertical="bottom"/>
    </xf>
    <xf numFmtId="178" fontId="5" fillId="17" borderId="0" applyAlignment="1" pivotButton="0" quotePrefix="0" xfId="0">
      <alignment horizontal="right" vertical="bottom"/>
    </xf>
    <xf numFmtId="0" fontId="5" fillId="17" borderId="0" applyAlignment="1" pivotButton="0" quotePrefix="0" xfId="0">
      <alignment horizontal="right" vertical="bottom"/>
    </xf>
    <xf numFmtId="178" fontId="5" fillId="0" borderId="0" applyAlignment="1" pivotButton="0" quotePrefix="0" xfId="0">
      <alignment vertical="bottom"/>
    </xf>
    <xf numFmtId="2" fontId="5" fillId="0" borderId="0" applyAlignment="1" pivotButton="0" quotePrefix="0" xfId="0">
      <alignment horizontal="right" vertical="bottom"/>
    </xf>
    <xf numFmtId="2" fontId="5" fillId="18" borderId="0" applyAlignment="1" pivotButton="0" quotePrefix="0" xfId="0">
      <alignment horizontal="right" vertical="bottom"/>
    </xf>
    <xf numFmtId="0" fontId="3" fillId="0" borderId="0" applyAlignment="1" pivotButton="0" quotePrefix="0" xfId="0">
      <alignment horizontal="center"/>
    </xf>
    <xf numFmtId="2" fontId="3" fillId="0" borderId="0" applyAlignment="1" pivotButton="0" quotePrefix="0" xfId="0">
      <alignment horizontal="center"/>
    </xf>
    <xf numFmtId="0" fontId="39" fillId="0" borderId="0" applyAlignment="1" pivotButton="0" quotePrefix="0" xfId="0">
      <alignment vertical="bottom"/>
    </xf>
    <xf numFmtId="0" fontId="39" fillId="0" borderId="0" applyAlignment="1" pivotButton="0" quotePrefix="0" xfId="0">
      <alignment horizontal="right" vertical="bottom"/>
    </xf>
    <xf numFmtId="0" fontId="40" fillId="0" borderId="0" applyAlignment="1" pivotButton="0" quotePrefix="0" xfId="0">
      <alignment vertical="bottom"/>
    </xf>
    <xf numFmtId="0" fontId="40" fillId="0" borderId="0" applyAlignment="1" pivotButton="0" quotePrefix="0" xfId="0">
      <alignment vertical="bottom"/>
    </xf>
    <xf numFmtId="165" fontId="40" fillId="0" borderId="0" applyAlignment="1" pivotButton="0" quotePrefix="0" xfId="0">
      <alignment horizontal="right" vertical="bottom"/>
    </xf>
    <xf numFmtId="0" fontId="3" fillId="11" borderId="5" applyAlignment="1" pivotButton="0" quotePrefix="0" xfId="0">
      <alignment vertical="top"/>
    </xf>
    <xf numFmtId="181" fontId="25" fillId="12" borderId="5" applyAlignment="1" pivotButton="0" quotePrefix="0" xfId="0">
      <alignment vertical="top"/>
    </xf>
    <xf numFmtId="3" fontId="26" fillId="0" borderId="5" applyAlignment="1" pivotButton="0" quotePrefix="0" xfId="0">
      <alignment vertical="top"/>
    </xf>
    <xf numFmtId="0" fontId="3" fillId="0" borderId="5" applyAlignment="1" pivotButton="0" quotePrefix="0" xfId="0">
      <alignment vertical="top"/>
    </xf>
    <xf numFmtId="182" fontId="25" fillId="12" borderId="5" applyAlignment="1" pivotButton="0" quotePrefix="0" xfId="0">
      <alignment vertical="top"/>
    </xf>
    <xf numFmtId="3" fontId="3" fillId="0" borderId="0" pivotButton="0" quotePrefix="0" xfId="0"/>
    <xf numFmtId="0" fontId="0" fillId="0" borderId="0" pivotButton="0" quotePrefix="0" xfId="0"/>
    <xf numFmtId="0" fontId="0" fillId="0" borderId="8" pivotButton="0" quotePrefix="0" xfId="0"/>
    <xf numFmtId="0" fontId="0" fillId="0" borderId="9" pivotButton="0" quotePrefix="0" xfId="0"/>
    <xf numFmtId="0" fontId="13" fillId="6" borderId="5" applyAlignment="1" pivotButton="0" quotePrefix="0" xfId="0">
      <alignment horizontal="center" vertical="bottom"/>
    </xf>
    <xf numFmtId="0" fontId="13" fillId="6" borderId="5" applyAlignment="1" pivotButton="0" quotePrefix="0" xfId="0">
      <alignment horizontal="center" vertical="top"/>
    </xf>
    <xf numFmtId="0" fontId="14" fillId="0" borderId="5" applyAlignment="1" pivotButton="0" quotePrefix="0" xfId="0">
      <alignment vertical="top"/>
    </xf>
    <xf numFmtId="0" fontId="18" fillId="7" borderId="59" pivotButton="0" quotePrefix="0" xfId="0"/>
    <xf numFmtId="0" fontId="18" fillId="7" borderId="13" pivotButton="0" quotePrefix="0" xfId="0"/>
    <xf numFmtId="0" fontId="0" fillId="0" borderId="18" pivotButton="0" quotePrefix="0" xfId="0"/>
    <xf numFmtId="0" fontId="0" fillId="0" borderId="19" pivotButton="0" quotePrefix="0" xfId="0"/>
    <xf numFmtId="0" fontId="0" fillId="0" borderId="20" pivotButton="0" quotePrefix="0" xfId="0"/>
    <xf numFmtId="0" fontId="18" fillId="7" borderId="15" pivotButton="0" quotePrefix="0" xfId="0"/>
    <xf numFmtId="0" fontId="0" fillId="0" borderId="21" pivotButton="0" quotePrefix="0" xfId="0"/>
    <xf numFmtId="0" fontId="0" fillId="0" borderId="22" pivotButton="0" quotePrefix="0" xfId="0"/>
    <xf numFmtId="0" fontId="0" fillId="0" borderId="26" pivotButton="0" quotePrefix="0" xfId="0"/>
    <xf numFmtId="0" fontId="0" fillId="0" borderId="27" pivotButton="0" quotePrefix="0" xfId="0"/>
    <xf numFmtId="0" fontId="23" fillId="9" borderId="32" applyAlignment="1" pivotButton="0" quotePrefix="0" xfId="0">
      <alignment horizontal="center" vertical="bottom"/>
    </xf>
    <xf numFmtId="0" fontId="28" fillId="6" borderId="5" applyAlignment="1" pivotButton="0" quotePrefix="0" xfId="0">
      <alignment vertical="bottom"/>
    </xf>
    <xf numFmtId="0" fontId="22" fillId="13" borderId="32" applyAlignment="1" pivotButton="0" quotePrefix="0" xfId="0">
      <alignment horizontal="center" vertical="bottom"/>
    </xf>
    <xf numFmtId="0" fontId="23" fillId="9" borderId="28" applyAlignment="1" pivotButton="0" quotePrefix="0" xfId="0">
      <alignment horizontal="center" vertical="bottom"/>
    </xf>
    <xf numFmtId="0" fontId="0" fillId="0" borderId="46" pivotButton="0" quotePrefix="0" xfId="0"/>
    <xf numFmtId="0" fontId="23" fillId="9" borderId="32" applyAlignment="1" pivotButton="0" quotePrefix="0" xfId="0">
      <alignment horizontal="center"/>
    </xf>
    <xf numFmtId="0" fontId="0" fillId="0" borderId="47"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0" fillId="0" borderId="53" pivotButton="0" quotePrefix="0" xfId="0"/>
    <xf numFmtId="0" fontId="0" fillId="0" borderId="55" pivotButton="0" quotePrefix="0" xfId="0"/>
    <xf numFmtId="0" fontId="0" fillId="0" borderId="56"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0">
                <a:solidFill>
                  <a:srgbClr val="757575"/>
                </a:solidFill>
                <a:latin typeface="+mn-lt"/>
              </a:defRPr>
            </a:pPr>
            <a:r>
              <a:rPr b="0">
                <a:solidFill>
                  <a:srgbClr val="757575"/>
                </a:solidFill>
                <a:latin typeface="+mn-lt"/>
              </a:rPr>
              <a:t>Long-run marginal/Consumption-based/Domestic and Grid average/Consumption-based/Domestic (kgCO2e/kWh)</a:t>
            </a:r>
          </a:p>
        </rich>
      </tx>
      <overlay val="0"/>
    </title>
    <plotArea>
      <layout/>
      <lineChart>
        <grouping val="standard"/>
        <ser>
          <idx val="0"/>
          <order val="0"/>
          <tx>
            <v>Marginal</v>
          </tx>
          <spPr>
            <a:ln xmlns:a="http://schemas.openxmlformats.org/drawingml/2006/main" cmpd="sng">
              <a:solidFill>
                <a:srgbClr val="4285F4"/>
              </a:solidFill>
              <a:prstDash val="solid"/>
            </a:ln>
          </spPr>
          <marker>
            <symbol val="none"/>
            <spPr>
              <a:ln xmlns:a="http://schemas.openxmlformats.org/drawingml/2006/main">
                <a:prstDash val="solid"/>
              </a:ln>
            </spPr>
          </marker>
          <cat>
            <strRef>
              <f>'DESNZ elec carbon intensity'!$B$14:$B$104</f>
            </strRef>
          </cat>
          <val>
            <numRef>
              <f>'DESNZ elec carbon intensity'!$C$14:$C$104</f>
              <numCache/>
            </numRef>
          </val>
          <smooth val="0"/>
        </ser>
        <ser>
          <idx val="1"/>
          <order val="1"/>
          <tx>
            <v>Average</v>
          </tx>
          <spPr>
            <a:ln xmlns:a="http://schemas.openxmlformats.org/drawingml/2006/main" cmpd="sng">
              <a:solidFill>
                <a:srgbClr val="EA4335"/>
              </a:solidFill>
              <a:prstDash val="solid"/>
            </a:ln>
          </spPr>
          <marker>
            <symbol val="none"/>
            <spPr>
              <a:ln xmlns:a="http://schemas.openxmlformats.org/drawingml/2006/main">
                <a:prstDash val="solid"/>
              </a:ln>
            </spPr>
          </marker>
          <cat>
            <strRef>
              <f>'DESNZ elec carbon intensity'!$B$14:$B$104</f>
            </strRef>
          </cat>
          <val>
            <numRef>
              <f>'DESNZ elec carbon intensity'!$G$14:$G$104</f>
              <numCache/>
            </numRef>
          </val>
          <smooth val="0"/>
        </ser>
        <axId val="927600801"/>
        <axId val="1227347165"/>
      </lineChart>
      <catAx>
        <axId val="927600801"/>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Year</a:t>
                </a:r>
              </a:p>
            </rich>
          </tx>
          <overlay val="0"/>
        </title>
        <numFmt formatCode="General" sourceLinked="1"/>
        <majorTickMark val="none"/>
        <minorTickMark val="none"/>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p>
        </txPr>
        <crossAx val="1227347165"/>
        <lblOffset val="100"/>
      </catAx>
      <valAx>
        <axId val="1227347165"/>
        <scaling>
          <orientation val="minMax"/>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p>
        </txPr>
        <crossAx val="927600801"/>
      </valAx>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
          </a:r>
        </a:p>
      </txPr>
    </legend>
    <plotVisOnly val="1"/>
    <dispBlanksAs val="gap"/>
  </chart>
</chartSpace>
</file>

<file path=xl/comments/comment1.xml><?xml version="1.0" encoding="utf-8"?>
<comments xmlns="http://schemas.openxmlformats.org/spreadsheetml/2006/main">
  <authors>
    <author>None</author>
  </authors>
  <commentList>
    <comment ref="U2" authorId="0" shapeId="0">
      <text>
        <t>Negative because the intermediate output shows positive as extra revenue, whereas here we're showing the same thing as *reduction* in govt cost.
	-Andrew Schein</t>
      </text>
    </comment>
    <comment ref="X2" authorId="0" shapeId="0">
      <text>
        <t>Negative for same reason as VAT column
	-Andrew Schein
No – permit revenue doesn't change in C&amp;T system.
	-Andrew Schein</t>
      </text>
    </comment>
    <comment ref="F9" authorId="0" shapeId="0">
      <text>
        <t>Divided by 1000 bc tons not kg. 
Multiplied by -1 because negative emissions = positive *savings*.
	-Andrew Schein</t>
      </text>
    </comment>
    <comment ref="F13" authorId="0" shapeId="0">
      <text>
        <t>* 1000 and * -1 for reasons above
* 365 because 365 days in a year
	-Andrew Schein</t>
      </text>
    </comment>
    <comment ref="F17" authorId="0" shapeId="0">
      <text>
        <t>2024 is year 0
	-Andrew Schein</t>
      </text>
    </comment>
    <comment ref="F22" authorId="0" shapeId="0">
      <text>
        <t>Multiplied by -1 because these are benefits not costs
	-Andrew Schein</t>
      </text>
    </comment>
    <comment ref="F23" authorId="0" shapeId="0">
      <text>
        <t>Ignoring lower discount rate that HMG advises (sticking with 3.5%)
	-Andrew Schein</t>
      </text>
    </comment>
    <comment ref="F34" authorId="0" shapeId="0">
      <text>
        <t>Comparing spend on periods at Cosy rates versus Flexible Octopus rate
	-Andrew Schein</t>
      </text>
    </comment>
    <comment ref="F35" authorId="0" shapeId="0">
      <text>
        <t>Using Cosy rates
	-Andrew Schein</t>
      </text>
    </comment>
    <comment ref="F58" authorId="0" shapeId="0">
      <text>
        <t>Change the hard code to a reference if time!
	-Andrew Schein</t>
      </text>
    </comment>
    <comment ref="F70" authorId="0" shapeId="0">
      <text>
        <t>Assuming 90% boiler efficiency
	-Andrew Schein</t>
      </text>
    </comment>
    <comment ref="F73" authorId="0" shapeId="0">
      <text>
        <t>20% VAT on gas boiler
0% VAT on HP
	-Andrew Schein</t>
      </text>
    </comment>
    <comment ref="F75" authorId="0" shapeId="0">
      <text>
        <t>Divided by 1000 bc tons not kg
	-Andrew Schein</t>
      </text>
    </comment>
    <comment ref="C91" authorId="0" shapeId="0">
      <text>
        <t>Based on: https://www.gov.uk/government/publications/the-green-book-appraisal-and-evaluation-in-central-government/the-green-book-2020#a6-discounting
	-Andrew Schein</t>
      </text>
    </comment>
    <comment ref="C92" authorId="0" shapeId="0">
      <text>
        <t>See Table 15 in https://assets.publishing.service.gov.uk/media/6567994fcc1ec5000d8eef17/data-tables-1-19.xlsx
	-Andrew Schein
We ignore this guidance from HMT
	-Andrew Schein</t>
      </text>
    </comment>
    <comment ref="D96" authorId="0" shapeId="0">
      <text>
        <t>Inflating the £2020 into £2023
	-Andrew Schein</t>
      </text>
    </comment>
    <comment ref="C98" authorId="0" shapeId="0">
      <text>
        <t>An average over the past few years!
	-Andrew Schein</t>
      </text>
    </comment>
    <comment ref="D100" authorId="0" shapeId="0">
      <text>
        <t>Inflating the £2021 into £2023
	-Andrew Schein</t>
      </text>
    </comment>
    <comment ref="C104" authorId="0" shapeId="0">
      <text>
        <t>Source: https://www.pwc.com/gx/en/research-insights/economy/global-economy-watch/projections.html
	-Andrew Schein</t>
      </text>
    </comment>
    <comment ref="C105" authorId="0" shapeId="0">
      <text>
        <t>https://obr.uk/box/the-uks-tax-burden-in-historical-and-international-context/#:~:text=In%202021%2C%20the%20most%20recent,which%20our%20forecast%20is%20based).
	-Andrew Schein</t>
      </text>
    </comment>
    <comment ref="D108" authorId="0" shapeId="0">
      <text>
        <t>Assumes elec impact is constant across all time
	-Andrew Schein</t>
      </text>
    </comment>
    <comment ref="D109" authorId="0" shapeId="0">
      <text>
        <t>Assumes gas impact is constant across all time
	-Andrew Schein</t>
      </text>
    </comment>
    <comment ref="F119" authorId="0" shapeId="0">
      <text>
        <t>Inflate the £2022 values into £2023 values using GDP deflator
	-Andrew Schein</t>
      </text>
    </comment>
    <comment ref="F122" authorId="0" shapeId="0">
      <text>
        <t>Divided by 100 bc this is in £ but the table is in pence
	-Andrew Schein</t>
      </text>
    </comment>
    <comment ref="F127" authorId="0" shapeId="0">
      <text>
        <t>Source: https://assets.publishing.service.gov.uk/media/5f4e14328fa8f57fba704517/cost-of-installing-heating-measures-in-domestic-properties.pdf
And see also: https://www.uswitch.com/energy/boiler-statistics/
	-Andrew Schein</t>
      </text>
    </comment>
    <comment ref="B130" authorId="0" shapeId="0">
      <text>
        <t>From: https://octoenergy-production-media.s3.amazonaws.com/documents/svt_apr24_pricing_-_RATES_FOR_BLOG.pdf
	-Andrew Schein</t>
      </text>
    </comment>
    <comment ref="F134" authorId="0" shapeId="0">
      <text>
        <t>Inflate the £2022 values into £2023 values using GDP deflator
	-Andrew Schein</t>
      </text>
    </comment>
    <comment ref="F152" authorId="0" shapeId="0">
      <text>
        <t>Divide by 1000 to get kg/kWh instead of g/kWh
	-Andrew Schein</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10</col>
      <colOff>28575</colOff>
      <row>13</row>
      <rowOff>47625</rowOff>
    </from>
    <ext cx="7105650" cy="440055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ww.ons.gov.uk/file?uri=/economy/grossdomesticproductgdp/datasets/uksecondestimateofgdpdatatables/quarter1jantomar2024quarterlynationalaccounts/quarterlynationalaccountsdatatables.xlsx" TargetMode="External" Id="rId1"/><Relationship Type="http://schemas.openxmlformats.org/officeDocument/2006/relationships/hyperlink" Target="https://www.ons.gov.uk/file?uri=/economy/grossdomesticproductgdp/datasets/uksecondestimateofgdpdatatables/quarter1jantomar2024quarterlynationalaccounts/quarterlynationalaccountsdatatables.xlsx" TargetMode="External" Id="rId2"/><Relationship Type="http://schemas.openxmlformats.org/officeDocument/2006/relationships/hyperlink" Target="https://obr.uk/efo/economic-and-fiscal-outlook-march-2024/" TargetMode="External" Id="rId3"/><Relationship Type="http://schemas.openxmlformats.org/officeDocument/2006/relationships/hyperlink" Target="https://www.ons.gov.uk/file?uri=/economy/grossdomesticproductgdp/datasets/uksecondestimateofgdpdatatables/quarter1jantomar2024quarterlynationalaccounts/quarterlynationalaccountsdatatables.xlsx" TargetMode="External" Id="rId4"/><Relationship Type="http://schemas.openxmlformats.org/officeDocument/2006/relationships/hyperlink" Target="https://www.ons.gov.uk/file?uri=/economy/grossdomesticproductgdp/datasets/uksecondestimateofgdpdatatables/quarter1jantomar2024quarterlynationalaccounts/quarterlynationalaccountsdatatables.xlsx" TargetMode="External" Id="rId5"/><Relationship Type="http://schemas.openxmlformats.org/officeDocument/2006/relationships/hyperlink" Target="https://obr.uk/efo/economic-and-fiscal-outlook-march-2024/" TargetMode="External" Id="rId6"/><Relationship Type="http://schemas.openxmlformats.org/officeDocument/2006/relationships/hyperlink" Target="https://www.gov.uk/government/publications/gross-domestic-product-gdp-deflators-user-guide" TargetMode="External" Id="rId7"/><Relationship Type="http://schemas.openxmlformats.org/officeDocument/2006/relationships/hyperlink" Target="https://www.gov.uk/government/publications/how-to-use-the-gdp-deflator-series-practical-examples" TargetMode="External" Id="rId8"/></Relationships>
</file>

<file path=xl/worksheets/_rels/sheet3.xml.rels><Relationships xmlns="http://schemas.openxmlformats.org/package/2006/relationships"><Relationship Type="http://schemas.openxmlformats.org/officeDocument/2006/relationships/hyperlink" Target="https://www.gov.uk/government/publications/greenhouse-gas-reporting-conversion-factors-2023" TargetMode="External" Id="rId1"/></Relationships>
</file>

<file path=xl/worksheets/_rels/sheet4.xml.rels><Relationships xmlns="http://schemas.openxmlformats.org/package/2006/relationships"><Relationship Type="http://schemas.openxmlformats.org/officeDocument/2006/relationships/hyperlink" Target="https://assets.publishing.service.gov.uk/media/6567994fcc1ec5000d8eef17/data-tables-1-19.xlsx" TargetMode="External" Id="rId1"/><Relationship Type="http://schemas.openxmlformats.org/officeDocument/2006/relationships/hyperlink" Target="https://www.gov.uk/government/publications/valuation-of-energy-use-and-greenhouse-gas-emissions-for-appraisal" TargetMode="External" Id="rId2"/></Relationships>
</file>

<file path=xl/worksheets/_rels/sheet5.xml.rels><Relationships xmlns="http://schemas.openxmlformats.org/package/2006/relationships"><Relationship Type="http://schemas.openxmlformats.org/officeDocument/2006/relationships/hyperlink" Target="https://www.gov.uk/government/publications/valuing-greenhouse-gas-emissions-in-policy-appraisal/valuation-of-greenhouse-gas-emissions-for-policy-appraisal-and-evaluation" TargetMode="External" Id="rId1"/></Relationships>
</file>

<file path=xl/worksheets/_rels/sheet6.xml.rels><Relationships xmlns="http://schemas.openxmlformats.org/package/2006/relationships"><Relationship Type="http://schemas.openxmlformats.org/officeDocument/2006/relationships/hyperlink" Target="https://bidenwhitehouse.archives.gov/omb/information-regulatory-affairs/regulatory-matters/" TargetMode="External" Id="rId1"/></Relationships>
</file>

<file path=xl/worksheets/_rels/sheet7.xml.rels><Relationships xmlns="http://schemas.openxmlformats.org/package/2006/relationships"><Relationship Type="http://schemas.openxmlformats.org/officeDocument/2006/relationships/hyperlink" Target="https://www.gov.uk/government/publications/valuation-of-energy-use-and-greenhouse-gas-emissions-for-appraisal" TargetMode="External" Id="rId1"/><Relationship Type="http://schemas.openxmlformats.org/officeDocument/2006/relationships/drawing" Target="/xl/drawings/drawing1.xml" Id="rId2"/></Relationships>
</file>

<file path=xl/worksheets/_rels/sheet8.xml.rels><Relationships xmlns="http://schemas.openxmlformats.org/package/2006/relationships"><Relationship Type="http://schemas.openxmlformats.org/officeDocument/2006/relationships/hyperlink" Target="https://www.gov.uk/government/uploads/system/uploads/attachment_data/file/286935/webtag-tag-unit-a5-4-marginal-external-congestion-costs.pdf" TargetMode="External" Id="rId1"/><Relationship Type="http://schemas.openxmlformats.org/officeDocument/2006/relationships/hyperlink" Target="https://www.gov.uk/government/publications/assess-the-impact-of-air-quality" TargetMode="External" Id="rId2"/><Relationship Type="http://schemas.openxmlformats.org/officeDocument/2006/relationships/hyperlink" Target="mailto:igcb@defra.gsi.gov.uk" TargetMode="External" Id="rId3"/></Relationships>
</file>

<file path=xl/worksheets/_rels/sheet9.xml.rels><Relationships xmlns="http://schemas.openxmlformats.org/package/2006/relationships"><Relationship Type="http://schemas.openxmlformats.org/officeDocument/2006/relationships/hyperlink" Target="https://www.gov.uk/government/publications/traded-carbon-values-used-for-modelling-purposes-2023/traded-carbon-values-used-for-modelling-purposes-2023" TargetMode="External" Id="rId1"/></Relationships>
</file>

<file path=xl/worksheets/_rels/sheet10.xml.rels><Relationships xmlns="http://schemas.openxmlformats.org/package/2006/relationships"><Relationship Type="http://schemas.openxmlformats.org/officeDocument/2006/relationships/hyperlink" Target="https://docs.google.com/spreadsheets/d/1xjG6cSkeIY839OLXHg10fQ-mqQQ66oiDxlozq-F0rL4/edit?gid=732718702" TargetMode="External" Id="rId1"/></Relationships>
</file>

<file path=xl/worksheets/_rels/sheet12.xml.rels><Relationships xmlns="http://schemas.openxmlformats.org/package/2006/relationships"><Relationship Type="http://schemas.openxmlformats.org/officeDocument/2006/relationships/hyperlink" Target="https://datadashboard.mcscertified.com/InstallationInsights" TargetMode="External" Id="rId1"/></Relationships>
</file>

<file path=xl/worksheets/sheet1.xml><?xml version="1.0" encoding="utf-8"?>
<worksheet xmlns="http://schemas.openxmlformats.org/spreadsheetml/2006/main">
  <sheetPr>
    <outlinePr summaryBelow="0" summaryRight="0"/>
    <pageSetUpPr/>
  </sheetPr>
  <dimension ref="A1:AX169"/>
  <sheetViews>
    <sheetView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2.63" defaultRowHeight="15.75" customHeight="1"/>
  <cols>
    <col width="4.63" customWidth="1" style="284" min="1" max="1"/>
    <col width="42.13" customWidth="1" style="284" min="2" max="2"/>
    <col width="9.380000000000001" customWidth="1" style="284" min="3" max="26"/>
    <col width="9.380000000000001" customWidth="1" style="284" min="28" max="30"/>
  </cols>
  <sheetData>
    <row r="1">
      <c r="A1" s="1" t="inlineStr">
        <is>
          <t>Final outputs</t>
        </is>
      </c>
      <c r="D1" s="2" t="n"/>
      <c r="E1" s="5" t="inlineStr">
        <is>
          <t>% marginal</t>
        </is>
      </c>
      <c r="F1" s="4" t="inlineStr">
        <is>
          <t>MVPF</t>
        </is>
      </c>
      <c r="G1" s="4" t="inlineStr">
        <is>
          <t>Resource cost per ton</t>
        </is>
      </c>
      <c r="H1" s="4" t="inlineStr">
        <is>
          <t>Government cost per ton</t>
        </is>
      </c>
      <c r="I1" s="4" t="inlineStr">
        <is>
          <t>Social cost per ton</t>
        </is>
      </c>
      <c r="J1" s="5" t="n"/>
      <c r="K1" s="5" t="n"/>
      <c r="L1" s="5" t="n"/>
      <c r="M1" s="5" t="inlineStr">
        <is>
          <t>MVPF numerator</t>
        </is>
      </c>
      <c r="N1" s="5" t="inlineStr">
        <is>
          <t>CO2e reduction benefits</t>
        </is>
      </c>
      <c r="O1" s="262" t="inlineStr">
        <is>
          <t>Air pollution reduction benefits</t>
        </is>
      </c>
      <c r="P1" s="5" t="inlineStr">
        <is>
          <t>Transfers</t>
        </is>
      </c>
      <c r="Q1" s="5" t="n"/>
      <c r="R1" s="5" t="inlineStr">
        <is>
          <t>Social cost</t>
        </is>
      </c>
      <c r="S1" s="5" t="inlineStr">
        <is>
          <t>Govt cost</t>
        </is>
      </c>
      <c r="T1" s="5" t="inlineStr">
        <is>
          <t>Subsidy cost</t>
        </is>
      </c>
      <c r="U1" s="5" t="inlineStr">
        <is>
          <t>Extra VAT (Energy)</t>
        </is>
      </c>
      <c r="V1" s="5" t="inlineStr">
        <is>
          <t>Lost VAT (Boiler Purchase)</t>
        </is>
      </c>
      <c r="W1" s="5" t="inlineStr">
        <is>
          <t>Climate change FE</t>
        </is>
      </c>
      <c r="X1" s="5" t="inlineStr">
        <is>
          <t>ETS revenue change</t>
        </is>
      </c>
      <c r="Y1" s="5" t="inlineStr">
        <is>
          <t>Net private cost</t>
        </is>
      </c>
      <c r="Z1" s="5" t="n"/>
      <c r="AA1" s="5" t="inlineStr">
        <is>
          <t>Transfers</t>
        </is>
      </c>
      <c r="AB1" s="5" t="inlineStr">
        <is>
          <t>CO2 benefits</t>
        </is>
      </c>
      <c r="AC1" s="5" t="inlineStr">
        <is>
          <t>Air pollution</t>
        </is>
      </c>
      <c r="AD1" s="5" t="inlineStr">
        <is>
          <t>Total benefits</t>
        </is>
      </c>
      <c r="AE1" s="5" t="n"/>
      <c r="AF1" s="5" t="inlineStr">
        <is>
          <t>Subsidy cost</t>
        </is>
      </c>
      <c r="AG1" s="5" t="inlineStr">
        <is>
          <t>Lost VAT (boiler purchase)</t>
        </is>
      </c>
      <c r="AH1" s="5" t="inlineStr">
        <is>
          <t>Extra VAT (energy)</t>
        </is>
      </c>
      <c r="AI1" s="5" t="inlineStr">
        <is>
          <t>Extra ETS</t>
        </is>
      </c>
      <c r="AJ1" s="5" t="inlineStr">
        <is>
          <t>Climate change FE</t>
        </is>
      </c>
      <c r="AK1" s="5" t="inlineStr">
        <is>
          <t>Total Govt Cost</t>
        </is>
      </c>
      <c r="AM1" s="5">
        <f>R1&amp; " per £7.5k"</f>
        <v/>
      </c>
      <c r="AN1" s="5">
        <f>Y1&amp; " per £7.5k"</f>
        <v/>
      </c>
    </row>
    <row r="2">
      <c r="D2" s="7" t="inlineStr">
        <is>
          <t>BUS</t>
        </is>
      </c>
      <c r="E2" s="8" t="n">
        <v>0.25</v>
      </c>
      <c r="F2" s="9">
        <f>M2/S2</f>
        <v/>
      </c>
      <c r="G2" s="12">
        <f>Y2/sum(F$9:Z$9)</f>
        <v/>
      </c>
      <c r="H2" s="15">
        <f>S2/(sum(F$9:Z$9)*E2)</f>
        <v/>
      </c>
      <c r="I2" s="12">
        <f>R2/sum(F$9:Z$9)</f>
        <v/>
      </c>
      <c r="K2" s="262" t="n"/>
      <c r="L2" s="262" t="n"/>
      <c r="M2" s="14">
        <f>sum(N2:P2)</f>
        <v/>
      </c>
      <c r="N2" s="14">
        <f>E2*F$17</f>
        <v/>
      </c>
      <c r="O2" s="14">
        <f>E2*F$23</f>
        <v/>
      </c>
      <c r="P2" s="15">
        <f>(1-50%*E2)*F$126</f>
        <v/>
      </c>
      <c r="R2" s="15">
        <f>Y2-O2+sum(U2:X2)</f>
        <v/>
      </c>
      <c r="S2" s="15">
        <f>sum(T2:X2)</f>
        <v/>
      </c>
      <c r="T2" s="15">
        <f>F$126</f>
        <v/>
      </c>
      <c r="U2" s="15">
        <f>-F$71*E2</f>
        <v/>
      </c>
      <c r="V2" s="15">
        <f>-$F$73*E2</f>
        <v/>
      </c>
      <c r="W2" s="14">
        <f>-$F$19*E2</f>
        <v/>
      </c>
      <c r="X2" s="262" t="n">
        <v>0</v>
      </c>
      <c r="Y2" s="15">
        <f>F125-F127+F66</f>
        <v/>
      </c>
      <c r="AA2" s="16">
        <f>P2/$F$126</f>
        <v/>
      </c>
      <c r="AB2" s="16">
        <f>N2/$F$126</f>
        <v/>
      </c>
      <c r="AC2" s="16">
        <f>O2/$F$126</f>
        <v/>
      </c>
      <c r="AD2" s="16">
        <f>M2/$F$126</f>
        <v/>
      </c>
      <c r="AE2" s="16" t="n"/>
      <c r="AF2" s="16">
        <f>T2/$F$126</f>
        <v/>
      </c>
      <c r="AG2" s="16">
        <f>V2/$F$126</f>
        <v/>
      </c>
      <c r="AH2" s="16">
        <f>U2/$F$126</f>
        <v/>
      </c>
      <c r="AI2" s="16">
        <f>X2/$F$126</f>
        <v/>
      </c>
      <c r="AJ2" s="16">
        <f>W2/$F$126</f>
        <v/>
      </c>
      <c r="AK2" s="16">
        <f>S2/$F$126</f>
        <v/>
      </c>
      <c r="AM2" s="16">
        <f>R2/$F$126</f>
        <v/>
      </c>
      <c r="AN2" s="16">
        <f>Y2/$F$126</f>
        <v/>
      </c>
    </row>
    <row r="3">
      <c r="D3" s="7" t="inlineStr">
        <is>
          <t>BUS</t>
        </is>
      </c>
      <c r="E3" s="8" t="n">
        <v>0.5</v>
      </c>
      <c r="F3" s="9">
        <f>M3/S3</f>
        <v/>
      </c>
      <c r="G3" s="12">
        <f>Y3/sum(F$9:Z$9)</f>
        <v/>
      </c>
      <c r="H3" s="15">
        <f>S3/(sum(F$9:Z$9)*E3)</f>
        <v/>
      </c>
      <c r="I3" s="12">
        <f>R3/sum(F$9:Z$9)</f>
        <v/>
      </c>
      <c r="K3" s="262" t="n"/>
      <c r="L3" s="262" t="n"/>
      <c r="M3" s="14">
        <f>sum(N3:P3)</f>
        <v/>
      </c>
      <c r="N3" s="14">
        <f>E3*F$17</f>
        <v/>
      </c>
      <c r="O3" s="14">
        <f>E3*F$23</f>
        <v/>
      </c>
      <c r="P3" s="15">
        <f>(1-50%*E3)*F$126</f>
        <v/>
      </c>
      <c r="R3" s="15">
        <f>Y3-O3+sum(U3:X3)</f>
        <v/>
      </c>
      <c r="S3" s="15">
        <f>sum(T3:X3)</f>
        <v/>
      </c>
      <c r="T3" s="15">
        <f>F$126</f>
        <v/>
      </c>
      <c r="U3" s="15">
        <f>-F$71*E3</f>
        <v/>
      </c>
      <c r="V3" s="15">
        <f>-$F$73*E3</f>
        <v/>
      </c>
      <c r="W3" s="14">
        <f>-$F$19*E3</f>
        <v/>
      </c>
      <c r="X3" s="262" t="n">
        <v>0</v>
      </c>
      <c r="Y3" s="15">
        <f>F125-F127+F66</f>
        <v/>
      </c>
      <c r="AA3" s="16">
        <f>P3/$F$126</f>
        <v/>
      </c>
      <c r="AB3" s="16">
        <f>N3/$F$126</f>
        <v/>
      </c>
      <c r="AC3" s="16">
        <f>O3/$F$126</f>
        <v/>
      </c>
      <c r="AD3" s="16">
        <f>M3/$F$126</f>
        <v/>
      </c>
      <c r="AE3" s="16" t="n"/>
      <c r="AF3" s="16">
        <f>T3/$F$126</f>
        <v/>
      </c>
      <c r="AG3" s="16">
        <f>V3/$F$126</f>
        <v/>
      </c>
      <c r="AH3" s="16">
        <f>U3/$F$126</f>
        <v/>
      </c>
      <c r="AI3" s="16">
        <f>X3/$F$126</f>
        <v/>
      </c>
      <c r="AJ3" s="16">
        <f>W3/$F$126</f>
        <v/>
      </c>
      <c r="AK3" s="16">
        <f>S3/$F$126</f>
        <v/>
      </c>
      <c r="AM3" s="16">
        <f>R3/$F$126</f>
        <v/>
      </c>
      <c r="AN3" s="16">
        <f>Y3/$F$126</f>
        <v/>
      </c>
    </row>
    <row r="4">
      <c r="A4" s="259" t="n"/>
      <c r="B4" s="259" t="n"/>
      <c r="D4" s="18" t="inlineStr">
        <is>
          <t>BUS + Cosy</t>
        </is>
      </c>
      <c r="E4" s="19" t="n">
        <v>0.5</v>
      </c>
      <c r="F4" s="9">
        <f>M4/S4</f>
        <v/>
      </c>
      <c r="G4" s="12">
        <f>Y4/sum(F$9:Z$9)</f>
        <v/>
      </c>
      <c r="H4" s="15">
        <f>S4/(sum(F$9:Z$9)*E4)</f>
        <v/>
      </c>
      <c r="I4" s="12">
        <f>R4/sum(F$9:Z$9)</f>
        <v/>
      </c>
      <c r="J4" s="259" t="n"/>
      <c r="K4" s="259" t="n"/>
      <c r="L4" s="259" t="n"/>
      <c r="M4" s="21">
        <f>sum(N4:P4)</f>
        <v/>
      </c>
      <c r="N4" s="21">
        <f>E4*(F$17+F18)</f>
        <v/>
      </c>
      <c r="O4" s="21">
        <f>E4*F$23</f>
        <v/>
      </c>
      <c r="P4" s="22">
        <f>(1-50%*E4)*F$126</f>
        <v/>
      </c>
      <c r="R4" s="15">
        <f>Y4-O4+sum(U4:X4)</f>
        <v/>
      </c>
      <c r="S4" s="22">
        <f>sum(T4:X4)</f>
        <v/>
      </c>
      <c r="T4" s="22">
        <f>F$126</f>
        <v/>
      </c>
      <c r="U4" s="15">
        <f>-(F$71 + F38) * E4</f>
        <v/>
      </c>
      <c r="V4" s="15">
        <f>-$F$73*E4</f>
        <v/>
      </c>
      <c r="W4" s="14">
        <f>-$F$19*E4</f>
        <v/>
      </c>
      <c r="X4" s="262" t="n">
        <v>0</v>
      </c>
      <c r="Y4" s="22">
        <f>F125-F127+F66+F67</f>
        <v/>
      </c>
      <c r="Z4" s="23" t="n"/>
      <c r="AA4" s="16">
        <f>P4/$F$126</f>
        <v/>
      </c>
      <c r="AB4" s="16">
        <f>N4/$F$126</f>
        <v/>
      </c>
      <c r="AC4" s="16">
        <f>O4/$F$126</f>
        <v/>
      </c>
      <c r="AD4" s="16">
        <f>M4/$F$126</f>
        <v/>
      </c>
      <c r="AE4" s="16" t="n"/>
      <c r="AF4" s="16">
        <f>T4/$F$126</f>
        <v/>
      </c>
      <c r="AG4" s="16">
        <f>V4/$F$126</f>
        <v/>
      </c>
      <c r="AH4" s="16">
        <f>U4/$F$126</f>
        <v/>
      </c>
      <c r="AI4" s="16">
        <f>X4/$F$126</f>
        <v/>
      </c>
      <c r="AJ4" s="16">
        <f>W4/$F$126</f>
        <v/>
      </c>
      <c r="AK4" s="16">
        <f>S4/$F$126</f>
        <v/>
      </c>
      <c r="AL4" s="259" t="n"/>
      <c r="AM4" s="16">
        <f>R4/$F$126</f>
        <v/>
      </c>
      <c r="AN4" s="16">
        <f>Y4/$F$126</f>
        <v/>
      </c>
      <c r="AO4" s="259" t="n"/>
      <c r="AP4" s="259" t="n"/>
      <c r="AQ4" s="259" t="n"/>
      <c r="AR4" s="259" t="n"/>
      <c r="AS4" s="259" t="n"/>
      <c r="AT4" s="259" t="n"/>
      <c r="AU4" s="259" t="n"/>
      <c r="AV4" s="259" t="n"/>
      <c r="AW4" s="259" t="n"/>
      <c r="AX4" s="259" t="n"/>
    </row>
    <row r="5">
      <c r="B5" s="262" t="n"/>
      <c r="C5" s="262" t="n"/>
      <c r="D5" s="262" t="n"/>
      <c r="E5" s="262" t="n"/>
      <c r="F5" s="262" t="n"/>
      <c r="G5" s="262" t="n"/>
      <c r="H5" s="262" t="n"/>
      <c r="I5" s="262" t="n"/>
      <c r="J5" s="262" t="n"/>
      <c r="K5" s="262" t="n"/>
      <c r="L5" s="262" t="n"/>
      <c r="M5" s="262" t="n"/>
      <c r="N5" s="262" t="n"/>
    </row>
    <row r="6">
      <c r="A6" s="1" t="inlineStr">
        <is>
          <t>Intermediate Outputs</t>
        </is>
      </c>
      <c r="C6" s="24" t="inlineStr">
        <is>
          <t>Constants</t>
        </is>
      </c>
      <c r="D6" s="24" t="n">
        <v>2022</v>
      </c>
      <c r="E6" s="24" t="n">
        <v>2023</v>
      </c>
      <c r="F6" s="24" t="n">
        <v>2024</v>
      </c>
      <c r="G6" s="24" t="n">
        <v>2025</v>
      </c>
      <c r="H6" s="24" t="n">
        <v>2026</v>
      </c>
      <c r="I6" s="24" t="n">
        <v>2027</v>
      </c>
      <c r="J6" s="24" t="n">
        <v>2028</v>
      </c>
      <c r="K6" s="24" t="n">
        <v>2029</v>
      </c>
      <c r="L6" s="24" t="n">
        <v>2030</v>
      </c>
      <c r="M6" s="24" t="n">
        <v>2031</v>
      </c>
      <c r="N6" s="24" t="n">
        <v>2032</v>
      </c>
      <c r="O6" s="24" t="n">
        <v>2033</v>
      </c>
      <c r="P6" s="24" t="n">
        <v>2034</v>
      </c>
      <c r="Q6" s="24" t="n">
        <v>2035</v>
      </c>
      <c r="R6" s="24" t="n">
        <v>2036</v>
      </c>
      <c r="S6" s="24" t="n">
        <v>2037</v>
      </c>
      <c r="T6" s="24" t="n">
        <v>2038</v>
      </c>
      <c r="U6" s="24" t="n">
        <v>2039</v>
      </c>
      <c r="V6" s="24" t="n">
        <v>2040</v>
      </c>
      <c r="W6" s="24" t="n">
        <v>2041</v>
      </c>
      <c r="X6" s="24" t="n">
        <v>2042</v>
      </c>
      <c r="Y6" s="24" t="n">
        <v>2043</v>
      </c>
      <c r="Z6" s="24" t="n"/>
    </row>
    <row r="7">
      <c r="B7" s="5" t="inlineStr">
        <is>
          <t>Assumed consumer price change from BUS</t>
        </is>
      </c>
      <c r="C7" s="28">
        <f>F126 / sum(F125:F126)</f>
        <v/>
      </c>
      <c r="E7" s="262" t="n"/>
      <c r="F7" s="262" t="n"/>
      <c r="G7" s="262" t="n"/>
      <c r="H7" s="262" t="n"/>
      <c r="I7" s="262" t="n"/>
      <c r="J7" s="262" t="n"/>
      <c r="K7" s="262" t="n"/>
      <c r="L7" s="262" t="n"/>
      <c r="M7" s="262" t="n"/>
      <c r="N7" s="262" t="n"/>
    </row>
    <row r="8">
      <c r="B8" s="5" t="n"/>
      <c r="C8" s="262" t="n"/>
      <c r="D8" s="262" t="n"/>
      <c r="E8" s="262" t="n"/>
      <c r="F8" s="262" t="n"/>
      <c r="G8" s="262" t="n"/>
      <c r="H8" s="262" t="n"/>
      <c r="I8" s="262" t="n"/>
      <c r="J8" s="262" t="n"/>
      <c r="K8" s="262" t="n"/>
      <c r="L8" s="262" t="n"/>
      <c r="M8" s="262" t="n"/>
      <c r="N8" s="262" t="n"/>
    </row>
    <row r="9">
      <c r="B9" s="5" t="inlineStr">
        <is>
          <t>Carbon savings (HP) (tonnes CO2e)</t>
        </is>
      </c>
      <c r="C9" s="9">
        <f>sum(F9:Z9)</f>
        <v/>
      </c>
      <c r="F9" s="9">
        <f>($C109 * $C117 + $C108 * F116) / 1000 * -1</f>
        <v/>
      </c>
      <c r="G9" s="9">
        <f>($C109*$C117+$C108*G116)/1000 * -1</f>
        <v/>
      </c>
      <c r="H9" s="9">
        <f>($C109*$C117+$C108*H116)/1000 * -1</f>
        <v/>
      </c>
      <c r="I9" s="9">
        <f>($C109*$C117+$C108*I116)/1000 * -1</f>
        <v/>
      </c>
      <c r="J9" s="9">
        <f>($C109*$C117+$C108*J116)/1000 * -1</f>
        <v/>
      </c>
      <c r="K9" s="9">
        <f>($C109*$C117+$C108*K116)/1000 * -1</f>
        <v/>
      </c>
      <c r="L9" s="9">
        <f>($C109*$C117+$C108*L116)/1000 * -1</f>
        <v/>
      </c>
      <c r="M9" s="9">
        <f>($C109*$C117+$C108*M116)/1000 * -1</f>
        <v/>
      </c>
      <c r="N9" s="9">
        <f>($C109*$C117+$C108*N116)/1000 * -1</f>
        <v/>
      </c>
      <c r="O9" s="9">
        <f>($C109*$C117+$C108*O116)/1000 * -1</f>
        <v/>
      </c>
      <c r="P9" s="9">
        <f>($C109*$C117+$C108*P116)/1000 * -1</f>
        <v/>
      </c>
      <c r="Q9" s="9">
        <f>($C109*$C117+$C108*Q116)/1000 * -1</f>
        <v/>
      </c>
      <c r="R9" s="9">
        <f>($C109*$C117+$C108*R116)/1000 * -1</f>
        <v/>
      </c>
      <c r="S9" s="9">
        <f>($C109*$C117+$C108*S116)/1000 * -1</f>
        <v/>
      </c>
      <c r="T9" s="9">
        <f>($C109*$C117+$C108*T116)/1000 * -1</f>
        <v/>
      </c>
      <c r="U9" s="9">
        <f>($C109*$C117+$C108*U116)/1000 * -1</f>
        <v/>
      </c>
      <c r="V9" s="9">
        <f>($C109*$C117+$C108*V116)/1000 * -1</f>
        <v/>
      </c>
      <c r="W9" s="9">
        <f>($C109*$C117+$C108*W116)/1000 * -1</f>
        <v/>
      </c>
      <c r="X9" s="9">
        <f>($C109*$C117+$C108*X116)/1000 * -1</f>
        <v/>
      </c>
      <c r="Y9" s="9">
        <f>($C109*$C117+$C108*Y116)/1000 * -1</f>
        <v/>
      </c>
      <c r="Z9" s="26" t="n"/>
    </row>
    <row r="10">
      <c r="B10" s="5" t="inlineStr">
        <is>
          <t>£ CO2e savings (HP)</t>
        </is>
      </c>
      <c r="C10" s="9" t="n"/>
      <c r="D10" s="9">
        <f>sum(F$9:Z$9)</f>
        <v/>
      </c>
      <c r="F10" s="14">
        <f>F9*F$94</f>
        <v/>
      </c>
      <c r="G10" s="14">
        <f>G9*G$94</f>
        <v/>
      </c>
      <c r="H10" s="14">
        <f>H9*H$94</f>
        <v/>
      </c>
      <c r="I10" s="14">
        <f>I9*I$94</f>
        <v/>
      </c>
      <c r="J10" s="14">
        <f>J9*J$94</f>
        <v/>
      </c>
      <c r="K10" s="14">
        <f>K9*K$94</f>
        <v/>
      </c>
      <c r="L10" s="14">
        <f>L9*L$94</f>
        <v/>
      </c>
      <c r="M10" s="14">
        <f>M9*M$94</f>
        <v/>
      </c>
      <c r="N10" s="14">
        <f>N9*N$94</f>
        <v/>
      </c>
      <c r="O10" s="14">
        <f>O9*O$94</f>
        <v/>
      </c>
      <c r="P10" s="14">
        <f>P9*P$94</f>
        <v/>
      </c>
      <c r="Q10" s="14">
        <f>Q9*Q$94</f>
        <v/>
      </c>
      <c r="R10" s="14">
        <f>R9*R$94</f>
        <v/>
      </c>
      <c r="S10" s="14">
        <f>S9*S$94</f>
        <v/>
      </c>
      <c r="T10" s="14">
        <f>T9*T$94</f>
        <v/>
      </c>
      <c r="U10" s="14">
        <f>U9*U$94</f>
        <v/>
      </c>
      <c r="V10" s="14">
        <f>V9*V$94</f>
        <v/>
      </c>
      <c r="W10" s="14">
        <f>W9*W$94</f>
        <v/>
      </c>
      <c r="X10" s="14">
        <f>X9*X$94</f>
        <v/>
      </c>
      <c r="Y10" s="14">
        <f>Y9*Y$94</f>
        <v/>
      </c>
      <c r="Z10" s="14" t="n"/>
    </row>
    <row r="11">
      <c r="B11" s="5" t="inlineStr">
        <is>
          <t>£ CO2e savings back to HMT (HP)</t>
        </is>
      </c>
      <c r="C11" s="9" t="n"/>
      <c r="F11" s="27">
        <f>$C$104*$C$105*F10</f>
        <v/>
      </c>
      <c r="G11" s="27">
        <f>$C$104*$C$105*G10</f>
        <v/>
      </c>
      <c r="H11" s="27">
        <f>$C$104*$C$105*H10</f>
        <v/>
      </c>
      <c r="I11" s="27">
        <f>$C$104*$C$105*I10</f>
        <v/>
      </c>
      <c r="J11" s="27">
        <f>$C$104*$C$105*J10</f>
        <v/>
      </c>
      <c r="K11" s="27">
        <f>$C$104*$C$105*K10</f>
        <v/>
      </c>
      <c r="L11" s="27">
        <f>$C$104*$C$105*L10</f>
        <v/>
      </c>
      <c r="M11" s="27">
        <f>$C$104*$C$105*M10</f>
        <v/>
      </c>
      <c r="N11" s="27">
        <f>$C$104*$C$105*N10</f>
        <v/>
      </c>
      <c r="O11" s="27">
        <f>$C$104*$C$105*O10</f>
        <v/>
      </c>
      <c r="P11" s="27">
        <f>$C$104*$C$105*P10</f>
        <v/>
      </c>
      <c r="Q11" s="27">
        <f>$C$104*$C$105*Q10</f>
        <v/>
      </c>
      <c r="R11" s="27">
        <f>$C$104*$C$105*R10</f>
        <v/>
      </c>
      <c r="S11" s="27">
        <f>$C$104*$C$105*S10</f>
        <v/>
      </c>
      <c r="T11" s="27">
        <f>$C$104*$C$105*T10</f>
        <v/>
      </c>
      <c r="U11" s="27">
        <f>$C$104*$C$105*U10</f>
        <v/>
      </c>
      <c r="V11" s="27">
        <f>$C$104*$C$105*V10</f>
        <v/>
      </c>
      <c r="W11" s="27">
        <f>$C$104*$C$105*W10</f>
        <v/>
      </c>
      <c r="X11" s="27">
        <f>$C$104*$C$105*X10</f>
        <v/>
      </c>
      <c r="Y11" s="27">
        <f>$C$104*$C$105*Y10</f>
        <v/>
      </c>
      <c r="Z11" s="27" t="n"/>
    </row>
    <row r="12">
      <c r="B12" s="5" t="n"/>
      <c r="C12" s="9"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t="n"/>
    </row>
    <row r="13">
      <c r="B13" s="5" t="inlineStr">
        <is>
          <t>Carbon savings (Cosy) (tonnes CO2e)</t>
        </is>
      </c>
      <c r="C13" s="9">
        <f>sum(F13:Z13)</f>
        <v/>
      </c>
      <c r="F13" s="26">
        <f>($F147*$C157*F152 + $F148*$C158*F153 + $F149*$C159*F154 + $F150*$C160*F155) * 365 / 1000 * -1</f>
        <v/>
      </c>
      <c r="G13" s="26">
        <f>($F147*$C157*G152 + $F148*$C158*G153 + $F149*$C159*G154 + $F150*$C160*G155) * 365 / 1000 * -1</f>
        <v/>
      </c>
      <c r="H13" s="26">
        <f>($F147*$C157*H152 + $F148*$C158*H153 + $F149*$C159*H154 + $F150*$C160*H155) * 365 / 1000 * -1</f>
        <v/>
      </c>
      <c r="I13" s="26">
        <f>($F147*$C157*I152 + $F148*$C158*I153 + $F149*$C159*I154 + $F150*$C160*I155) * 365 / 1000 * -1</f>
        <v/>
      </c>
      <c r="J13" s="26">
        <f>($F147*$C157*J152 + $F148*$C158*J153 + $F149*$C159*J154 + $F150*$C160*J155) * 365 / 1000 * -1</f>
        <v/>
      </c>
      <c r="K13" s="26">
        <f>($F147*$C157*K152 + $F148*$C158*K153 + $F149*$C159*K154 + $F150*$C160*K155) * 365 / 1000 * -1</f>
        <v/>
      </c>
      <c r="L13" s="26">
        <f>($F147*$C157*L152 + $F148*$C158*L153 + $F149*$C159*L154 + $F150*$C160*L155) * 365 / 1000 * -1</f>
        <v/>
      </c>
      <c r="M13" s="26">
        <f>($F147*$C157*M152 + $F148*$C158*M153 + $F149*$C159*M154 + $F150*$C160*M155) * 365 / 1000 * -1</f>
        <v/>
      </c>
      <c r="N13" s="26">
        <f>($F147*$C157*N152 + $F148*$C158*N153 + $F149*$C159*N154 + $F150*$C160*N155) * 365 / 1000 * -1</f>
        <v/>
      </c>
      <c r="O13" s="26">
        <f>($F147*$C157*O152 + $F148*$C158*O153 + $F149*$C159*O154 + $F150*$C160*O155) * 365 / 1000 * -1</f>
        <v/>
      </c>
      <c r="P13" s="26">
        <f>($F147*$C157*P152 + $F148*$C158*P153 + $F149*$C159*P154 + $F150*$C160*P155) * 365 / 1000 * -1</f>
        <v/>
      </c>
      <c r="Q13" s="26">
        <f>($F147*$C157*Q152 + $F148*$C158*Q153 + $F149*$C159*Q154 + $F150*$C160*Q155) * 365 / 1000 * -1</f>
        <v/>
      </c>
      <c r="R13" s="26">
        <f>($F147*$C157*R152 + $F148*$C158*R153 + $F149*$C159*R154 + $F150*$C160*R155) * 365 / 1000 * -1</f>
        <v/>
      </c>
      <c r="S13" s="26">
        <f>($F147*$C157*S152 + $F148*$C158*S153 + $F149*$C159*S154 + $F150*$C160*S155) * 365 / 1000 * -1</f>
        <v/>
      </c>
      <c r="T13" s="26">
        <f>($F147*$C157*T152 + $F148*$C158*T153 + $F149*$C159*T154 + $F150*$C160*T155) * 365 / 1000 * -1</f>
        <v/>
      </c>
      <c r="U13" s="26">
        <f>($F147*$C157*U152 + $F148*$C158*U153 + $F149*$C159*U154 + $F150*$C160*U155) * 365 / 1000 * -1</f>
        <v/>
      </c>
      <c r="V13" s="26">
        <f>($F147*$C157*V152 + $F148*$C158*V153 + $F149*$C159*V154 + $F150*$C160*V155) * 365 / 1000 * -1</f>
        <v/>
      </c>
      <c r="W13" s="26">
        <f>($F147*$C157*W152 + $F148*$C158*W153 + $F149*$C159*W154 + $F150*$C160*W155) * 365 / 1000 * -1</f>
        <v/>
      </c>
      <c r="X13" s="26">
        <f>($F147*$C157*X152 + $F148*$C158*X153 + $F149*$C159*X154 + $F150*$C160*X155) * 365 / 1000 * -1</f>
        <v/>
      </c>
      <c r="Y13" s="26">
        <f>($F147*$C157*Y152 + $F148*$C158*Y153 + $F149*$C159*Y154 + $F150*$C160*Y155) * 365 / 1000 * -1</f>
        <v/>
      </c>
      <c r="Z13" s="26" t="n"/>
    </row>
    <row r="14">
      <c r="B14" s="5" t="inlineStr">
        <is>
          <t>£ CO2e savings (Cosy)</t>
        </is>
      </c>
      <c r="F14" s="14">
        <f>F13*F$94</f>
        <v/>
      </c>
      <c r="G14" s="14">
        <f>G13*G$94</f>
        <v/>
      </c>
      <c r="H14" s="14">
        <f>H13*H$94</f>
        <v/>
      </c>
      <c r="I14" s="14">
        <f>I13*I$94</f>
        <v/>
      </c>
      <c r="J14" s="14">
        <f>J13*J$94</f>
        <v/>
      </c>
      <c r="K14" s="14">
        <f>K13*K$94</f>
        <v/>
      </c>
      <c r="L14" s="14">
        <f>L13*L$94</f>
        <v/>
      </c>
      <c r="M14" s="14">
        <f>M13*M$94</f>
        <v/>
      </c>
      <c r="N14" s="14">
        <f>N13*N$94</f>
        <v/>
      </c>
      <c r="O14" s="14">
        <f>O13*O$94</f>
        <v/>
      </c>
      <c r="P14" s="14">
        <f>P13*P$94</f>
        <v/>
      </c>
      <c r="Q14" s="14">
        <f>Q13*Q$94</f>
        <v/>
      </c>
      <c r="R14" s="14">
        <f>R13*R$94</f>
        <v/>
      </c>
      <c r="S14" s="14">
        <f>S13*S$94</f>
        <v/>
      </c>
      <c r="T14" s="14">
        <f>T13*T$94</f>
        <v/>
      </c>
      <c r="U14" s="14">
        <f>U13*U$94</f>
        <v/>
      </c>
      <c r="V14" s="14">
        <f>V13*V$94</f>
        <v/>
      </c>
      <c r="W14" s="14">
        <f>W13*W$94</f>
        <v/>
      </c>
      <c r="X14" s="14">
        <f>X13*X$94</f>
        <v/>
      </c>
      <c r="Y14" s="14">
        <f>Y13*Y$94</f>
        <v/>
      </c>
      <c r="Z14" s="14" t="n"/>
    </row>
    <row r="15">
      <c r="B15" s="5" t="inlineStr">
        <is>
          <t>£ CO2e savings back to HMT (Cosy)</t>
        </is>
      </c>
      <c r="F15" s="27">
        <f>$C$104*$C$105*F14</f>
        <v/>
      </c>
      <c r="G15" s="27">
        <f>$C$104*$C$105*G14</f>
        <v/>
      </c>
      <c r="H15" s="27">
        <f>$C$104*$C$105*H14</f>
        <v/>
      </c>
      <c r="I15" s="27">
        <f>$C$104*$C$105*I14</f>
        <v/>
      </c>
      <c r="J15" s="27">
        <f>$C$104*$C$105*J14</f>
        <v/>
      </c>
      <c r="K15" s="27">
        <f>$C$104*$C$105*K14</f>
        <v/>
      </c>
      <c r="L15" s="27">
        <f>$C$104*$C$105*L14</f>
        <v/>
      </c>
      <c r="M15" s="27">
        <f>$C$104*$C$105*M14</f>
        <v/>
      </c>
      <c r="N15" s="27">
        <f>$C$104*$C$105*N14</f>
        <v/>
      </c>
      <c r="O15" s="27">
        <f>$C$104*$C$105*O14</f>
        <v/>
      </c>
      <c r="P15" s="27">
        <f>$C$104*$C$105*P14</f>
        <v/>
      </c>
      <c r="Q15" s="27">
        <f>$C$104*$C$105*Q14</f>
        <v/>
      </c>
      <c r="R15" s="27">
        <f>$C$104*$C$105*R14</f>
        <v/>
      </c>
      <c r="S15" s="27">
        <f>$C$104*$C$105*S14</f>
        <v/>
      </c>
      <c r="T15" s="27">
        <f>$C$104*$C$105*T14</f>
        <v/>
      </c>
      <c r="U15" s="27">
        <f>$C$104*$C$105*U14</f>
        <v/>
      </c>
      <c r="V15" s="27">
        <f>$C$104*$C$105*V14</f>
        <v/>
      </c>
      <c r="W15" s="27">
        <f>$C$104*$C$105*W14</f>
        <v/>
      </c>
      <c r="X15" s="27">
        <f>$C$104*$C$105*X14</f>
        <v/>
      </c>
      <c r="Y15" s="27">
        <f>$C$104*$C$105*Y14</f>
        <v/>
      </c>
      <c r="Z15" s="27" t="n"/>
    </row>
    <row r="16">
      <c r="B16" s="5" t="n"/>
      <c r="F16" s="14" t="n"/>
    </row>
    <row r="17">
      <c r="B17" s="5" t="inlineStr">
        <is>
          <t>NPV HP CO2 benefits over 20 years</t>
        </is>
      </c>
      <c r="F17" s="14">
        <f t="array" ref="F17">F10 + npv(C$91,G10:Z10)</f>
        <v/>
      </c>
    </row>
    <row r="18">
      <c r="B18" s="5" t="inlineStr">
        <is>
          <t>NPV Cosy CO2 benefits over 20 years</t>
        </is>
      </c>
      <c r="C18" s="262" t="n"/>
      <c r="D18" s="262" t="n"/>
      <c r="E18" s="262" t="n"/>
      <c r="F18" s="14">
        <f t="array" ref="F18">F14+npv(C$91,G14:Z14)</f>
        <v/>
      </c>
      <c r="H18" s="262" t="n"/>
      <c r="I18" s="262" t="n"/>
      <c r="J18" s="262" t="n"/>
      <c r="K18" s="262" t="n"/>
      <c r="L18" s="262" t="n"/>
      <c r="M18" s="262" t="n"/>
      <c r="N18" s="262" t="n"/>
    </row>
    <row r="19">
      <c r="B19" s="5" t="inlineStr">
        <is>
          <t>NPV HP CO2e savings back to HMT</t>
        </is>
      </c>
      <c r="F19" s="14">
        <f>F11+npv(C$91,G11:Z11)</f>
        <v/>
      </c>
      <c r="H19" s="262" t="n"/>
    </row>
    <row r="20">
      <c r="B20" s="5" t="inlineStr">
        <is>
          <t>NPV Cosy CO2e savings back to HMT</t>
        </is>
      </c>
      <c r="F20" s="14">
        <f>F12+npv(C$91,G12:Z12)</f>
        <v/>
      </c>
      <c r="H20" s="262" t="n"/>
    </row>
    <row r="21">
      <c r="B21" s="5" t="n"/>
      <c r="F21" s="14" t="n"/>
      <c r="H21" s="262" t="inlineStr">
        <is>
          <t xml:space="preserve"> </t>
        </is>
      </c>
    </row>
    <row r="22">
      <c r="B22" s="5" t="inlineStr">
        <is>
          <t>£ air pollutant change (HP – positive is benefits)</t>
        </is>
      </c>
      <c r="F22" s="14">
        <f> -1 * (F108*F119 + F109*F120)</f>
        <v/>
      </c>
      <c r="G22" s="14">
        <f> -1 * (G108*G119 + G109*G120)</f>
        <v/>
      </c>
      <c r="H22" s="14">
        <f> -1 * (H108*H119 + H109*H120)</f>
        <v/>
      </c>
      <c r="I22" s="14">
        <f> -1 * (I108*I119 + I109*I120)</f>
        <v/>
      </c>
      <c r="J22" s="14">
        <f> -1 * (J108*J119 + J109*J120)</f>
        <v/>
      </c>
      <c r="K22" s="14">
        <f> -1 * (K108*K119 + K109*K120)</f>
        <v/>
      </c>
      <c r="L22" s="14">
        <f> -1 * (L108*L119 + L109*L120)</f>
        <v/>
      </c>
      <c r="M22" s="14">
        <f> -1 * (M108*M119 + M109*M120)</f>
        <v/>
      </c>
      <c r="N22" s="14">
        <f> -1 * (N108*N119 + N109*N120)</f>
        <v/>
      </c>
      <c r="O22" s="14">
        <f> -1 * (O108*O119 + O109*O120)</f>
        <v/>
      </c>
      <c r="P22" s="14">
        <f> -1 * (P108*P119 + P109*P120)</f>
        <v/>
      </c>
      <c r="Q22" s="14">
        <f> -1 * (Q108*Q119 + Q109*Q120)</f>
        <v/>
      </c>
      <c r="R22" s="14">
        <f> -1 * (R108*R119 + R109*R120)</f>
        <v/>
      </c>
      <c r="S22" s="14">
        <f> -1 * (S108*S119 + S109*S120)</f>
        <v/>
      </c>
      <c r="T22" s="14">
        <f> -1 * (T108*T119 + T109*T120)</f>
        <v/>
      </c>
      <c r="U22" s="14">
        <f> -1 * (U108*U119 + U109*U120)</f>
        <v/>
      </c>
      <c r="V22" s="14">
        <f> -1 * (V108*V119 + V109*V120)</f>
        <v/>
      </c>
      <c r="W22" s="14">
        <f> -1 * (W108*W119 + W109*W120)</f>
        <v/>
      </c>
      <c r="X22" s="14">
        <f> -1 * (X108*X119 + X109*X120)</f>
        <v/>
      </c>
      <c r="Y22" s="14">
        <f> -1 * (Y108*Y119 + Y109*Y120)</f>
        <v/>
      </c>
      <c r="Z22" s="14" t="n"/>
    </row>
    <row r="23">
      <c r="B23" s="5" t="inlineStr">
        <is>
          <t>NPV air pollutant reduction over 20 years</t>
        </is>
      </c>
      <c r="F23" s="14">
        <f t="array" ref="F23">F22+npv(C$91,G22:Z22)</f>
        <v/>
      </c>
      <c r="H23" s="262" t="n"/>
    </row>
    <row r="24">
      <c r="B24" s="5" t="n"/>
      <c r="F24" s="24" t="n"/>
      <c r="G24" s="24" t="n"/>
      <c r="H24" s="24" t="n"/>
      <c r="I24" s="24" t="n"/>
      <c r="J24" s="24" t="n"/>
      <c r="K24" s="24" t="n"/>
      <c r="L24" s="24" t="n"/>
      <c r="M24" s="24" t="n"/>
      <c r="N24" s="24" t="n"/>
      <c r="O24" s="24" t="n"/>
      <c r="P24" s="24" t="n"/>
      <c r="Q24" s="24" t="n"/>
      <c r="R24" s="24" t="n"/>
      <c r="S24" s="24" t="n"/>
      <c r="T24" s="24" t="n"/>
      <c r="U24" s="24" t="n"/>
      <c r="V24" s="24" t="n"/>
      <c r="W24" s="24" t="n"/>
      <c r="X24" s="24" t="n"/>
      <c r="Y24" s="24" t="n"/>
    </row>
    <row r="25">
      <c r="B25" s="5" t="inlineStr">
        <is>
          <t>Year</t>
        </is>
      </c>
      <c r="F25" s="24" t="n">
        <v>2024</v>
      </c>
      <c r="G25" s="24" t="n">
        <v>2025</v>
      </c>
      <c r="H25" s="24" t="n">
        <v>2026</v>
      </c>
      <c r="I25" s="24" t="n">
        <v>2027</v>
      </c>
      <c r="J25" s="24" t="n">
        <v>2028</v>
      </c>
      <c r="K25" s="24" t="n">
        <v>2029</v>
      </c>
      <c r="L25" s="24" t="n">
        <v>2030</v>
      </c>
      <c r="M25" s="24" t="n">
        <v>2031</v>
      </c>
      <c r="N25" s="24" t="n">
        <v>2032</v>
      </c>
      <c r="O25" s="24" t="n">
        <v>2033</v>
      </c>
      <c r="P25" s="24" t="n">
        <v>2034</v>
      </c>
      <c r="Q25" s="24" t="n">
        <v>2035</v>
      </c>
      <c r="R25" s="24" t="n">
        <v>2036</v>
      </c>
      <c r="S25" s="24" t="n">
        <v>2037</v>
      </c>
      <c r="T25" s="24" t="n">
        <v>2038</v>
      </c>
      <c r="U25" s="24" t="n">
        <v>2039</v>
      </c>
      <c r="V25" s="24" t="n">
        <v>2040</v>
      </c>
      <c r="W25" s="24" t="n">
        <v>2041</v>
      </c>
      <c r="X25" s="24" t="n">
        <v>2042</v>
      </c>
      <c r="Y25" s="24" t="n">
        <v>2043</v>
      </c>
    </row>
    <row r="26">
      <c r="B26" s="5" t="inlineStr">
        <is>
          <t>CO2 + air pollution benefits</t>
        </is>
      </c>
      <c r="F26" s="14">
        <f>F22+F10</f>
        <v/>
      </c>
      <c r="G26" s="14">
        <f>G22+G10</f>
        <v/>
      </c>
      <c r="H26" s="14">
        <f>H22+H10</f>
        <v/>
      </c>
      <c r="I26" s="14">
        <f>I22+I10</f>
        <v/>
      </c>
      <c r="J26" s="14">
        <f>J22+J10</f>
        <v/>
      </c>
      <c r="K26" s="14">
        <f>K22+K10</f>
        <v/>
      </c>
      <c r="L26" s="14">
        <f>L22+L10</f>
        <v/>
      </c>
      <c r="M26" s="14">
        <f>M22+M10</f>
        <v/>
      </c>
      <c r="N26" s="14">
        <f>N22+N10</f>
        <v/>
      </c>
      <c r="O26" s="14">
        <f>O22+O10</f>
        <v/>
      </c>
      <c r="P26" s="14">
        <f>P22+P10</f>
        <v/>
      </c>
      <c r="Q26" s="14">
        <f>Q22+Q10</f>
        <v/>
      </c>
      <c r="R26" s="14">
        <f>R22+R10</f>
        <v/>
      </c>
      <c r="S26" s="14">
        <f>S22+S10</f>
        <v/>
      </c>
      <c r="T26" s="14">
        <f>T22+T10</f>
        <v/>
      </c>
      <c r="U26" s="14">
        <f>U22+U10</f>
        <v/>
      </c>
      <c r="V26" s="14">
        <f>V22+V10</f>
        <v/>
      </c>
      <c r="W26" s="14">
        <f>W22+W10</f>
        <v/>
      </c>
      <c r="X26" s="14">
        <f>X22+X10</f>
        <v/>
      </c>
      <c r="Y26" s="14">
        <f>Y22+Y10</f>
        <v/>
      </c>
    </row>
    <row r="27">
      <c r="B27" s="5" t="inlineStr">
        <is>
          <t>CO2 + air pollution benefits (discounted)</t>
        </is>
      </c>
      <c r="F27" s="14">
        <f>F26</f>
        <v/>
      </c>
      <c r="G27" s="14">
        <f>G26/(1+$C$91)^(G6-$F$6)</f>
        <v/>
      </c>
      <c r="H27" s="14">
        <f>H26/(1+$C$91)^(H6-$F$6)</f>
        <v/>
      </c>
      <c r="I27" s="14">
        <f>I26/(1+$C$91)^(I6-$F$6)</f>
        <v/>
      </c>
      <c r="J27" s="14">
        <f>J26/(1+$C$91)^(J6-$F$6)</f>
        <v/>
      </c>
      <c r="K27" s="14">
        <f>K26/(1+$C$91)^(K6-$F$6)</f>
        <v/>
      </c>
      <c r="L27" s="14">
        <f>L26/(1+$C$91)^(L6-$F$6)</f>
        <v/>
      </c>
      <c r="M27" s="14">
        <f>M26/(1+$C$91)^(M6-$F$6)</f>
        <v/>
      </c>
      <c r="N27" s="14">
        <f>N26/(1+$C$91)^(N6-$F$6)</f>
        <v/>
      </c>
      <c r="O27" s="14">
        <f>O26/(1+$C$91)^(O6-$F$6)</f>
        <v/>
      </c>
      <c r="P27" s="14">
        <f>P26/(1+$C$91)^(P6-$F$6)</f>
        <v/>
      </c>
      <c r="Q27" s="14">
        <f>Q26/(1+$C$91)^(Q6-$F$6)</f>
        <v/>
      </c>
      <c r="R27" s="14">
        <f>R26/(1+$C$91)^(R6-$F$6)</f>
        <v/>
      </c>
      <c r="S27" s="14">
        <f>S26/(1+$C$91)^(S6-$F$6)</f>
        <v/>
      </c>
      <c r="T27" s="14">
        <f>T26/(1+$C$91)^(T6-$F$6)</f>
        <v/>
      </c>
      <c r="U27" s="14">
        <f>U26/(1+$C$91)^(U6-$F$6)</f>
        <v/>
      </c>
      <c r="V27" s="14">
        <f>V26/(1+$C$91)^(V6-$F$6)</f>
        <v/>
      </c>
      <c r="W27" s="14">
        <f>W26/(1+$C$91)^(W6-$F$6)</f>
        <v/>
      </c>
      <c r="X27" s="14">
        <f>X26/(1+$C$91)^(X6-$F$6)</f>
        <v/>
      </c>
      <c r="Y27" s="14">
        <f>Y26/(1+$C$91)^(Y6-$F$6)</f>
        <v/>
      </c>
    </row>
    <row r="28">
      <c r="B28" s="5" t="n"/>
      <c r="F28" s="14" t="n"/>
      <c r="H28" s="262" t="n"/>
    </row>
    <row r="29">
      <c r="B29" s="5" t="inlineStr">
        <is>
          <t>HP op ex £ change to customer using Octo prices (positive means HP costs more, negative means less)</t>
        </is>
      </c>
      <c r="F29" s="14">
        <f>$C$109*F132+$C$108*F130</f>
        <v/>
      </c>
      <c r="G29" s="14">
        <f>$C$109*G132+$C$108*G130</f>
        <v/>
      </c>
      <c r="H29" s="14">
        <f>$C$109*H132+$C$108*H130</f>
        <v/>
      </c>
      <c r="I29" s="14">
        <f>$C$109*I132+$C$108*I130</f>
        <v/>
      </c>
      <c r="J29" s="14">
        <f>$C$109*J132+$C$108*J130</f>
        <v/>
      </c>
      <c r="K29" s="14">
        <f>$C$109*K132+$C$108*K130</f>
        <v/>
      </c>
      <c r="L29" s="14">
        <f>$C$109*L132+$C$108*L130</f>
        <v/>
      </c>
      <c r="M29" s="14">
        <f>$C$109*M132+$C$108*M130</f>
        <v/>
      </c>
      <c r="N29" s="14">
        <f>$C$109*N132+$C$108*N130</f>
        <v/>
      </c>
      <c r="O29" s="14">
        <f>$C$109*O132+$C$108*O130</f>
        <v/>
      </c>
      <c r="P29" s="14">
        <f>$C$109*P132+$C$108*P130</f>
        <v/>
      </c>
      <c r="Q29" s="14">
        <f>$C$109*Q132+$C$108*Q130</f>
        <v/>
      </c>
      <c r="R29" s="14">
        <f>$C$109*R132+$C$108*R130</f>
        <v/>
      </c>
      <c r="S29" s="14">
        <f>$C$109*S132+$C$108*S130</f>
        <v/>
      </c>
      <c r="T29" s="14">
        <f>$C$109*T132+$C$108*T130</f>
        <v/>
      </c>
      <c r="U29" s="14">
        <f>$C$109*U132+$C$108*U130</f>
        <v/>
      </c>
      <c r="V29" s="14">
        <f>$C$109*V132+$C$108*V130</f>
        <v/>
      </c>
      <c r="W29" s="14">
        <f>$C$109*W132+$C$108*W130</f>
        <v/>
      </c>
      <c r="X29" s="14">
        <f>$C$109*X132+$C$108*X130</f>
        <v/>
      </c>
      <c r="Y29" s="14">
        <f>$C$109*Y132+$C$108*Y130</f>
        <v/>
      </c>
      <c r="Z29" s="14" t="n"/>
      <c r="AA29" s="14" t="n"/>
      <c r="AB29" s="14" t="n"/>
      <c r="AC29" s="14" t="n"/>
      <c r="AE29" s="14" t="n"/>
      <c r="AF29" s="14" t="n"/>
      <c r="AG29" s="14" t="n"/>
      <c r="AH29" s="14" t="n"/>
      <c r="AI29" s="14" t="n"/>
      <c r="AJ29" s="14" t="n"/>
      <c r="AK29" s="14" t="n"/>
      <c r="AL29" s="14" t="n"/>
      <c r="AM29" s="14" t="n"/>
      <c r="AN29" s="14" t="n"/>
      <c r="AO29" s="14" t="n"/>
      <c r="AP29" s="14" t="n"/>
      <c r="AQ29" s="14" t="n"/>
      <c r="AR29" s="14" t="n"/>
      <c r="AS29" s="14" t="n"/>
      <c r="AT29" s="14" t="n"/>
      <c r="AU29" s="14" t="n"/>
      <c r="AV29" s="14" t="n"/>
      <c r="AW29" s="14" t="n"/>
      <c r="AX29" s="14" t="n"/>
    </row>
    <row r="30">
      <c r="B30" s="5" t="inlineStr">
        <is>
          <t>HP op ex £ change to customer if gas standing charge is eliminated using Octo prices (positive means HP costs more, negative means less)</t>
        </is>
      </c>
      <c r="F30" s="14">
        <f>F29-F133*365</f>
        <v/>
      </c>
      <c r="G30" s="14">
        <f>G29-G133*365</f>
        <v/>
      </c>
      <c r="H30" s="14">
        <f>H29-H133*365</f>
        <v/>
      </c>
      <c r="I30" s="14">
        <f>I29-I133*365</f>
        <v/>
      </c>
      <c r="J30" s="14">
        <f>J29-J133*365</f>
        <v/>
      </c>
      <c r="K30" s="14">
        <f>K29-K133*365</f>
        <v/>
      </c>
      <c r="L30" s="14">
        <f>L29-L133*365</f>
        <v/>
      </c>
      <c r="M30" s="14">
        <f>M29-M133*365</f>
        <v/>
      </c>
      <c r="N30" s="14">
        <f>N29-N133*365</f>
        <v/>
      </c>
      <c r="O30" s="14">
        <f>O29-O133*365</f>
        <v/>
      </c>
      <c r="P30" s="14">
        <f>P29-P133*365</f>
        <v/>
      </c>
      <c r="Q30" s="14">
        <f>Q29-Q133*365</f>
        <v/>
      </c>
      <c r="R30" s="14">
        <f>R29-R133*365</f>
        <v/>
      </c>
      <c r="S30" s="14">
        <f>S29-S133*365</f>
        <v/>
      </c>
      <c r="T30" s="14">
        <f>T29-T133*365</f>
        <v/>
      </c>
      <c r="U30" s="14">
        <f>U29-U133*365</f>
        <v/>
      </c>
      <c r="V30" s="14">
        <f>V29-V133*365</f>
        <v/>
      </c>
      <c r="W30" s="14">
        <f>W29-W133*365</f>
        <v/>
      </c>
      <c r="X30" s="14">
        <f>X29-X133*365</f>
        <v/>
      </c>
      <c r="Y30" s="14">
        <f>Y29-Y133*365</f>
        <v/>
      </c>
    </row>
    <row r="31">
      <c r="B31" s="5" t="inlineStr">
        <is>
          <t>HP op ex £ change to customer using HMG prices (positive means HP costs more, negative means less)</t>
        </is>
      </c>
      <c r="F31" s="14">
        <f>$C$108*F134 + $C$109*F135</f>
        <v/>
      </c>
      <c r="G31" s="14">
        <f>$C$108*G134 + $C$109*G135</f>
        <v/>
      </c>
      <c r="H31" s="14">
        <f>$C$108*H134 + $C$109*H135</f>
        <v/>
      </c>
      <c r="I31" s="14">
        <f>$C$108*I134 + $C$109*I135</f>
        <v/>
      </c>
      <c r="J31" s="14">
        <f>$C$108*J134 + $C$109*J135</f>
        <v/>
      </c>
      <c r="K31" s="14">
        <f>$C$108*K134 + $C$109*K135</f>
        <v/>
      </c>
      <c r="L31" s="14">
        <f>$C$108*L134 + $C$109*L135</f>
        <v/>
      </c>
      <c r="M31" s="14">
        <f>$C$108*M134 + $C$109*M135</f>
        <v/>
      </c>
      <c r="N31" s="14">
        <f>$C$108*N134 + $C$109*N135</f>
        <v/>
      </c>
      <c r="O31" s="14">
        <f>$C$108*O134 + $C$109*O135</f>
        <v/>
      </c>
      <c r="P31" s="14">
        <f>$C$108*P134 + $C$109*P135</f>
        <v/>
      </c>
      <c r="Q31" s="14">
        <f>$C$108*Q134 + $C$109*Q135</f>
        <v/>
      </c>
      <c r="R31" s="14">
        <f>$C$108*R134 + $C$109*R135</f>
        <v/>
      </c>
      <c r="S31" s="14">
        <f>$C$108*S134 + $C$109*S135</f>
        <v/>
      </c>
      <c r="T31" s="14">
        <f>$C$108*T134 + $C$109*T135</f>
        <v/>
      </c>
      <c r="U31" s="14">
        <f>$C$108*U134 + $C$109*U135</f>
        <v/>
      </c>
      <c r="V31" s="14">
        <f>$C$108*V134 + $C$109*V135</f>
        <v/>
      </c>
      <c r="W31" s="14">
        <f>$C$108*W134 + $C$109*W135</f>
        <v/>
      </c>
      <c r="X31" s="14">
        <f>$C$108*X134 + $C$109*X135</f>
        <v/>
      </c>
      <c r="Y31" s="14">
        <f>$C$108*Y134 + $C$109*Y135</f>
        <v/>
      </c>
      <c r="Z31" s="14" t="n"/>
    </row>
    <row r="32">
      <c r="B32" s="5" t="inlineStr">
        <is>
          <t>HP op ex £ change to customer if gas standing charge is eliminated using HMG prices (positive means HP costs more, negative means less)</t>
        </is>
      </c>
      <c r="F32" s="14">
        <f>F31-F133*365</f>
        <v/>
      </c>
      <c r="G32" s="14">
        <f>G31-G133*365</f>
        <v/>
      </c>
      <c r="H32" s="14">
        <f>H31-H133*365</f>
        <v/>
      </c>
      <c r="I32" s="14">
        <f>I31-I133*365</f>
        <v/>
      </c>
      <c r="J32" s="14">
        <f>J31-J133*365</f>
        <v/>
      </c>
      <c r="K32" s="14">
        <f>K31-K133*365</f>
        <v/>
      </c>
      <c r="L32" s="14">
        <f>L31-L133*365</f>
        <v/>
      </c>
      <c r="M32" s="14">
        <f>M31-M133*365</f>
        <v/>
      </c>
      <c r="N32" s="14">
        <f>N31-N133*365</f>
        <v/>
      </c>
      <c r="O32" s="14">
        <f>O31-O133*365</f>
        <v/>
      </c>
      <c r="P32" s="14">
        <f>P31-P133*365</f>
        <v/>
      </c>
      <c r="Q32" s="14">
        <f>Q31-Q133*365</f>
        <v/>
      </c>
      <c r="R32" s="14">
        <f>R31-R133*365</f>
        <v/>
      </c>
      <c r="S32" s="14">
        <f>S31-S133*365</f>
        <v/>
      </c>
      <c r="T32" s="14">
        <f>T31-T133*365</f>
        <v/>
      </c>
      <c r="U32" s="14">
        <f>U31-U133*365</f>
        <v/>
      </c>
      <c r="V32" s="14">
        <f>V31-V133*365</f>
        <v/>
      </c>
      <c r="W32" s="14">
        <f>W31-W133*365</f>
        <v/>
      </c>
      <c r="X32" s="14">
        <f>X31-X133*365</f>
        <v/>
      </c>
      <c r="Y32" s="14">
        <f>Y31-Y133*365</f>
        <v/>
      </c>
    </row>
    <row r="33">
      <c r="B33" s="5"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row>
    <row r="34">
      <c r="B34" s="5" t="inlineStr">
        <is>
          <t>Cosy £ structural winnings (negative means savings)</t>
        </is>
      </c>
      <c r="F34" s="14">
        <f>($F142*$C157*($F162-$F163) + $F143*$C158*($F163-$F163) + $F144*$C159*($F164-$F163) + $F145*$C160*($F164-$F163))*365</f>
        <v/>
      </c>
      <c r="G34" s="14">
        <f>($F142*$C157*($F162-$F163) + $F143*$C158*($F163-$F163) + $F144*$C159*($F164-$F163) + $F145*$C160*($F164-$F163))*365</f>
        <v/>
      </c>
      <c r="H34" s="14">
        <f>($F142*$C157*($F162-$F163) + $F143*$C158*($F163-$F163) + $F144*$C159*($F164-$F163) + $F145*$C160*($F164-$F163))*365</f>
        <v/>
      </c>
      <c r="I34" s="14">
        <f>($F142*$C157*($F162-$F163) + $F143*$C158*($F163-$F163) + $F144*$C159*($F164-$F163) + $F145*$C160*($F164-$F163))*365</f>
        <v/>
      </c>
      <c r="J34" s="14">
        <f>($F142*$C157*($F162-$F163) + $F143*$C158*($F163-$F163) + $F144*$C159*($F164-$F163) + $F145*$C160*($F164-$F163))*365</f>
        <v/>
      </c>
      <c r="K34" s="14">
        <f>($F142*$C157*($F162-$F163) + $F143*$C158*($F163-$F163) + $F144*$C159*($F164-$F163) + $F145*$C160*($F164-$F163))*365</f>
        <v/>
      </c>
      <c r="L34" s="14">
        <f>($F142*$C157*($F162-$F163) + $F143*$C158*($F163-$F163) + $F144*$C159*($F164-$F163) + $F145*$C160*($F164-$F163))*365</f>
        <v/>
      </c>
      <c r="M34" s="14">
        <f>($F142*$C157*($F162-$F163) + $F143*$C158*($F163-$F163) + $F144*$C159*($F164-$F163) + $F145*$C160*($F164-$F163))*365</f>
        <v/>
      </c>
      <c r="N34" s="14">
        <f>($F142*$C157*($F162-$F163) + $F143*$C158*($F163-$F163) + $F144*$C159*($F164-$F163) + $F145*$C160*($F164-$F163))*365</f>
        <v/>
      </c>
      <c r="O34" s="14">
        <f>($F142*$C157*($F162-$F163) + $F143*$C158*($F163-$F163) + $F144*$C159*($F164-$F163) + $F145*$C160*($F164-$F163))*365</f>
        <v/>
      </c>
      <c r="P34" s="14">
        <f>($F142*$C157*($F162-$F163) + $F143*$C158*($F163-$F163) + $F144*$C159*($F164-$F163) + $F145*$C160*($F164-$F163))*365</f>
        <v/>
      </c>
      <c r="Q34" s="14">
        <f>($F142*$C157*($F162-$F163) + $F143*$C158*($F163-$F163) + $F144*$C159*($F164-$F163) + $F145*$C160*($F164-$F163))*365</f>
        <v/>
      </c>
      <c r="R34" s="14">
        <f>($F142*$C157*($F162-$F163) + $F143*$C158*($F163-$F163) + $F144*$C159*($F164-$F163) + $F145*$C160*($F164-$F163))*365</f>
        <v/>
      </c>
      <c r="S34" s="14">
        <f>($F142*$C157*($F162-$F163) + $F143*$C158*($F163-$F163) + $F144*$C159*($F164-$F163) + $F145*$C160*($F164-$F163))*365</f>
        <v/>
      </c>
      <c r="T34" s="14">
        <f>($F142*$C157*($F162-$F163) + $F143*$C158*($F163-$F163) + $F144*$C159*($F164-$F163) + $F145*$C160*($F164-$F163))*365</f>
        <v/>
      </c>
      <c r="U34" s="14">
        <f>($F142*$C157*($F162-$F163) + $F143*$C158*($F163-$F163) + $F144*$C159*($F164-$F163) + $F145*$C160*($F164-$F163))*365</f>
        <v/>
      </c>
      <c r="V34" s="14">
        <f>($F142*$C157*($F162-$F163) + $F143*$C158*($F163-$F163) + $F144*$C159*($F164-$F163) + $F145*$C160*($F164-$F163))*365</f>
        <v/>
      </c>
      <c r="W34" s="14">
        <f>($F142*$C157*($F162-$F163) + $F143*$C158*($F163-$F163) + $F144*$C159*($F164-$F163) + $F145*$C160*($F164-$F163))*365</f>
        <v/>
      </c>
      <c r="X34" s="14">
        <f>($F142*$C157*($F162-$F163) + $F143*$C158*($F163-$F163) + $F144*$C159*($F164-$F163) + $F145*$C160*($F164-$F163))*365</f>
        <v/>
      </c>
      <c r="Y34" s="14">
        <f>($F142*$C157*($F162-$F163) + $F143*$C158*($F163-$F163) + $F144*$C159*($F164-$F163) + $F145*$C160*($F164-$F163))*365</f>
        <v/>
      </c>
      <c r="Z34" s="14" t="n"/>
    </row>
    <row r="35">
      <c r="B35" s="5" t="inlineStr">
        <is>
          <t>Cosy £ behaviour change (negative means savings)</t>
        </is>
      </c>
      <c r="F35" s="14">
        <f>($F147*$C157*$F162 + $F148*$C158*$F163 + $F149*$C159*$F164 + $F150*$C160*$F164)*365</f>
        <v/>
      </c>
      <c r="G35" s="14">
        <f>($F147*$C157*$F162 + $F148*$C158*$F163 + $F149*$C159*$F164+$F150*$C160*$F164)*365</f>
        <v/>
      </c>
      <c r="H35" s="14">
        <f>($F147*$C157*$F162 + $F148*$C158*$F163 + $F149*$C159*$F164+$F150*$C160*$F164)*365</f>
        <v/>
      </c>
      <c r="I35" s="14">
        <f>($F147*$C157*$F162 + $F148*$C158*$F163 + $F149*$C159*$F164+$F150*$C160*$F164)*365</f>
        <v/>
      </c>
      <c r="J35" s="14">
        <f>($F147*$C157*$F162 + $F148*$C158*$F163 + $F149*$C159*$F164+$F150*$C160*$F164)*365</f>
        <v/>
      </c>
      <c r="K35" s="14">
        <f>($F147*$C157*$F162 + $F148*$C158*$F163 + $F149*$C159*$F164+$F150*$C160*$F164)*365</f>
        <v/>
      </c>
      <c r="L35" s="14">
        <f>($F147*$C157*$F162 + $F148*$C158*$F163 + $F149*$C159*$F164+$F150*$C160*$F164)*365</f>
        <v/>
      </c>
      <c r="M35" s="14">
        <f>($F147*$C157*$F162 + $F148*$C158*$F163 + $F149*$C159*$F164+$F150*$C160*$F164)*365</f>
        <v/>
      </c>
      <c r="N35" s="14">
        <f>($F147*$C157*$F162 + $F148*$C158*$F163 + $F149*$C159*$F164+$F150*$C160*$F164)*365</f>
        <v/>
      </c>
      <c r="O35" s="14">
        <f>($F147*$C157*$F162 + $F148*$C158*$F163 + $F149*$C159*$F164+$F150*$C160*$F164)*365</f>
        <v/>
      </c>
      <c r="P35" s="14">
        <f>($F147*$C157*$F162 + $F148*$C158*$F163 + $F149*$C159*$F164+$F150*$C160*$F164)*365</f>
        <v/>
      </c>
      <c r="Q35" s="14">
        <f>($F147*$C157*$F162 + $F148*$C158*$F163 + $F149*$C159*$F164+$F150*$C160*$F164)*365</f>
        <v/>
      </c>
      <c r="R35" s="14">
        <f>($F147*$C157*$F162 + $F148*$C158*$F163 + $F149*$C159*$F164+$F150*$C160*$F164)*365</f>
        <v/>
      </c>
      <c r="S35" s="14">
        <f>($F147*$C157*$F162 + $F148*$C158*$F163 + $F149*$C159*$F164+$F150*$C160*$F164)*365</f>
        <v/>
      </c>
      <c r="T35" s="14">
        <f>($F147*$C157*$F162 + $F148*$C158*$F163 + $F149*$C159*$F164+$F150*$C160*$F164)*365</f>
        <v/>
      </c>
      <c r="U35" s="14">
        <f>($F147*$C157*$F162 + $F148*$C158*$F163 + $F149*$C159*$F164+$F150*$C160*$F164)*365</f>
        <v/>
      </c>
      <c r="V35" s="14">
        <f>($F147*$C157*$F162 + $F148*$C158*$F163 + $F149*$C159*$F164+$F150*$C160*$F164)*365</f>
        <v/>
      </c>
      <c r="W35" s="14">
        <f>($F147*$C157*$F162 + $F148*$C158*$F163 + $F149*$C159*$F164+$F150*$C160*$F164)*365</f>
        <v/>
      </c>
      <c r="X35" s="14">
        <f>($F147*$C157*$F162 + $F148*$C158*$F163 + $F149*$C159*$F164+$F150*$C160*$F164)*365</f>
        <v/>
      </c>
      <c r="Y35" s="14">
        <f>($F147*$C157*$F162 + $F148*$C158*$F163 + $F149*$C159*$F164+$F150*$C160*$F164)*365</f>
        <v/>
      </c>
      <c r="Z35" s="14" t="n"/>
    </row>
    <row r="36">
      <c r="B36" s="5" t="inlineStr">
        <is>
          <t>Cosy £ total (negative means savings)</t>
        </is>
      </c>
      <c r="F36" s="14">
        <f>sum(F34:F35)</f>
        <v/>
      </c>
      <c r="G36" s="14">
        <f>sum(G34:G35)</f>
        <v/>
      </c>
      <c r="H36" s="14">
        <f>sum(H34:H35)</f>
        <v/>
      </c>
      <c r="I36" s="14">
        <f>sum(I34:I35)</f>
        <v/>
      </c>
      <c r="J36" s="14">
        <f>sum(J34:J35)</f>
        <v/>
      </c>
      <c r="K36" s="14">
        <f>sum(K34:K35)</f>
        <v/>
      </c>
      <c r="L36" s="14">
        <f>sum(L34:L35)</f>
        <v/>
      </c>
      <c r="M36" s="14">
        <f>sum(M34:M35)</f>
        <v/>
      </c>
      <c r="N36" s="14">
        <f>sum(N34:N35)</f>
        <v/>
      </c>
      <c r="O36" s="14">
        <f>sum(O34:O35)</f>
        <v/>
      </c>
      <c r="P36" s="14">
        <f>sum(P34:P35)</f>
        <v/>
      </c>
      <c r="Q36" s="14">
        <f>sum(Q34:Q35)</f>
        <v/>
      </c>
      <c r="R36" s="14">
        <f>sum(R34:R35)</f>
        <v/>
      </c>
      <c r="S36" s="14">
        <f>sum(S34:S35)</f>
        <v/>
      </c>
      <c r="T36" s="14">
        <f>sum(T34:T35)</f>
        <v/>
      </c>
      <c r="U36" s="14">
        <f>sum(U34:U35)</f>
        <v/>
      </c>
      <c r="V36" s="14">
        <f>sum(V34:V35)</f>
        <v/>
      </c>
      <c r="W36" s="14">
        <f>sum(W34:W35)</f>
        <v/>
      </c>
      <c r="X36" s="14">
        <f>sum(X34:X35)</f>
        <v/>
      </c>
      <c r="Y36" s="14">
        <f>sum(Y34:Y35)</f>
        <v/>
      </c>
      <c r="Z36" s="14" t="n"/>
    </row>
    <row r="37">
      <c r="B37" s="5" t="inlineStr">
        <is>
          <t>VAT on elec changed (negative is loss) from Cosy</t>
        </is>
      </c>
      <c r="F37" s="14">
        <f>F36*5%</f>
        <v/>
      </c>
      <c r="G37" s="14">
        <f>G36*5%</f>
        <v/>
      </c>
      <c r="H37" s="14">
        <f>H36*5%</f>
        <v/>
      </c>
      <c r="I37" s="14">
        <f>I36*5%</f>
        <v/>
      </c>
      <c r="J37" s="14">
        <f>J36*5%</f>
        <v/>
      </c>
      <c r="K37" s="14">
        <f>K36*5%</f>
        <v/>
      </c>
      <c r="L37" s="14">
        <f>L36*5%</f>
        <v/>
      </c>
      <c r="M37" s="14">
        <f>M36*5%</f>
        <v/>
      </c>
      <c r="N37" s="14">
        <f>N36*5%</f>
        <v/>
      </c>
      <c r="O37" s="14">
        <f>O36*5%</f>
        <v/>
      </c>
      <c r="P37" s="14">
        <f>P36*5%</f>
        <v/>
      </c>
      <c r="Q37" s="14">
        <f>Q36*5%</f>
        <v/>
      </c>
      <c r="R37" s="14">
        <f>R36*5%</f>
        <v/>
      </c>
      <c r="S37" s="14">
        <f>S36*5%</f>
        <v/>
      </c>
      <c r="T37" s="14">
        <f>T36*5%</f>
        <v/>
      </c>
      <c r="U37" s="14">
        <f>U36*5%</f>
        <v/>
      </c>
      <c r="V37" s="14">
        <f>V36*5%</f>
        <v/>
      </c>
      <c r="W37" s="14">
        <f>W36*5%</f>
        <v/>
      </c>
      <c r="X37" s="14">
        <f>X36*5%</f>
        <v/>
      </c>
      <c r="Y37" s="14">
        <f>Y36*5%</f>
        <v/>
      </c>
      <c r="Z37" s="14" t="n"/>
    </row>
    <row r="38">
      <c r="B38" s="5" t="inlineStr">
        <is>
          <t>NPV change (negative is loss) in VAT revenue elec from Cosy</t>
        </is>
      </c>
      <c r="F38" s="15">
        <f t="array" ref="F38">F37+ npv(C$91,G37:Z37)</f>
        <v/>
      </c>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row>
    <row r="39">
      <c r="B39" s="5"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row>
    <row r="40">
      <c r="B40" s="5" t="inlineStr">
        <is>
          <t>HP pre-adoption tons CO2</t>
        </is>
      </c>
      <c r="C40" s="9">
        <f>sum(F40:Y40)</f>
        <v/>
      </c>
      <c r="F40" s="9">
        <f>($F$112*F$116+$F$113*$C$117) / 1000</f>
        <v/>
      </c>
      <c r="G40" s="9">
        <f>($F$112*G$116+$F$113*$C$117) / 1000</f>
        <v/>
      </c>
      <c r="H40" s="9">
        <f>($F$112*H$116+$F$113*$C$117) / 1000</f>
        <v/>
      </c>
      <c r="I40" s="9">
        <f>($F$112*I$116+$F$113*$C$117) / 1000</f>
        <v/>
      </c>
      <c r="J40" s="9">
        <f>($F$112*J$116+$F$113*$C$117) / 1000</f>
        <v/>
      </c>
      <c r="K40" s="9">
        <f>($F$112*K$116+$F$113*$C$117) / 1000</f>
        <v/>
      </c>
      <c r="L40" s="9">
        <f>($F$112*L$116+$F$113*$C$117) / 1000</f>
        <v/>
      </c>
      <c r="M40" s="9">
        <f>($F$112*M$116+$F$113*$C$117) / 1000</f>
        <v/>
      </c>
      <c r="N40" s="9">
        <f>($F$112*N$116+$F$113*$C$117) / 1000</f>
        <v/>
      </c>
      <c r="O40" s="9">
        <f>($F$112*O$116+$F$113*$C$117) / 1000</f>
        <v/>
      </c>
      <c r="P40" s="9">
        <f>($F$112*P$116+$F$113*$C$117) / 1000</f>
        <v/>
      </c>
      <c r="Q40" s="9">
        <f>($F$112*Q$116+$F$113*$C$117) / 1000</f>
        <v/>
      </c>
      <c r="R40" s="9">
        <f>($F$112*R$116+$F$113*$C$117) / 1000</f>
        <v/>
      </c>
      <c r="S40" s="9">
        <f>($F$112*S$116+$F$113*$C$117) / 1000</f>
        <v/>
      </c>
      <c r="T40" s="9">
        <f>($F$112*T$116+$F$113*$C$117) / 1000</f>
        <v/>
      </c>
      <c r="U40" s="9">
        <f>($F$112*U$116+$F$113*$C$117) / 1000</f>
        <v/>
      </c>
      <c r="V40" s="9">
        <f>($F$112*V$116+$F$113*$C$117) / 1000</f>
        <v/>
      </c>
      <c r="W40" s="9">
        <f>($F$112*W$116+$F$113*$C$117) / 1000</f>
        <v/>
      </c>
      <c r="X40" s="9">
        <f>($F$112*X$116+$F$113*$C$117) / 1000</f>
        <v/>
      </c>
      <c r="Y40" s="9">
        <f>($F$112*Y$116+$F$113*$C$117) / 1000</f>
        <v/>
      </c>
      <c r="Z40" s="14" t="n"/>
    </row>
    <row r="41">
      <c r="B41" s="5" t="inlineStr">
        <is>
          <t>HP CO2 reduction in %</t>
        </is>
      </c>
      <c r="C41" s="28">
        <f>C9/C40</f>
        <v/>
      </c>
      <c r="F41" s="28">
        <f>F9/F40</f>
        <v/>
      </c>
      <c r="G41" s="28">
        <f>G9/G40</f>
        <v/>
      </c>
      <c r="H41" s="28">
        <f>H9/H40</f>
        <v/>
      </c>
      <c r="I41" s="28">
        <f>I9/I40</f>
        <v/>
      </c>
      <c r="J41" s="28">
        <f>J9/J40</f>
        <v/>
      </c>
      <c r="K41" s="28">
        <f>K9/K40</f>
        <v/>
      </c>
      <c r="L41" s="28">
        <f>L9/L40</f>
        <v/>
      </c>
      <c r="M41" s="28">
        <f>M9/M40</f>
        <v/>
      </c>
      <c r="N41" s="28">
        <f>N9/N40</f>
        <v/>
      </c>
      <c r="O41" s="28">
        <f>O9/O40</f>
        <v/>
      </c>
      <c r="P41" s="28">
        <f>P9/P40</f>
        <v/>
      </c>
      <c r="Q41" s="28">
        <f>Q9/Q40</f>
        <v/>
      </c>
      <c r="R41" s="28">
        <f>R9/R40</f>
        <v/>
      </c>
      <c r="S41" s="28">
        <f>S9/S40</f>
        <v/>
      </c>
      <c r="T41" s="28">
        <f>T9/T40</f>
        <v/>
      </c>
      <c r="U41" s="28">
        <f>U9/U40</f>
        <v/>
      </c>
      <c r="V41" s="28">
        <f>V9/V40</f>
        <v/>
      </c>
      <c r="W41" s="28">
        <f>W9/W40</f>
        <v/>
      </c>
      <c r="X41" s="28">
        <f>X9/X40</f>
        <v/>
      </c>
      <c r="Y41" s="28">
        <f>Y9/Y40</f>
        <v/>
      </c>
      <c r="Z41" s="37" t="n"/>
    </row>
    <row r="42">
      <c r="B42" s="5" t="n"/>
      <c r="F42" s="14" t="n"/>
      <c r="G42" s="14" t="n"/>
      <c r="H42" s="14" t="n"/>
      <c r="I42" s="30" t="n"/>
      <c r="J42" s="14" t="n"/>
      <c r="K42" s="14" t="n"/>
      <c r="L42" s="14" t="n"/>
      <c r="M42" s="14" t="n"/>
      <c r="N42" s="14" t="n"/>
      <c r="O42" s="14" t="n"/>
      <c r="P42" s="14" t="n"/>
      <c r="Q42" s="14" t="n"/>
      <c r="R42" s="14" t="n"/>
      <c r="S42" s="14" t="n"/>
      <c r="T42" s="14" t="n"/>
      <c r="U42" s="14" t="n"/>
      <c r="V42" s="14" t="n"/>
      <c r="W42" s="14" t="n"/>
      <c r="X42" s="14" t="n"/>
      <c r="Y42" s="14" t="n"/>
      <c r="Z42" s="14" t="n"/>
    </row>
    <row r="43">
      <c r="B43" s="5" t="inlineStr">
        <is>
          <t>HP elec consumption change in %</t>
        </is>
      </c>
      <c r="F43" s="35">
        <f>C108/F112</f>
        <v/>
      </c>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row>
    <row r="44">
      <c r="B44" s="5" t="inlineStr">
        <is>
          <t>HP gas consumption change in %</t>
        </is>
      </c>
      <c r="F44" s="35">
        <f>C109/F113</f>
        <v/>
      </c>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row>
    <row r="45">
      <c r="B45" s="262" t="inlineStr">
        <is>
          <t>HP energy consumption change in %</t>
        </is>
      </c>
      <c r="F45" s="35">
        <f>C110/F114</f>
        <v/>
      </c>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row>
    <row r="46">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row>
    <row r="47">
      <c r="B47" s="5" t="inlineStr">
        <is>
          <t>HP pre-adoption energy consumption costs</t>
        </is>
      </c>
      <c r="F47" s="14">
        <f>F112*F130 + F113*F132 + 365*(F131+F133)</f>
        <v/>
      </c>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row>
    <row r="48">
      <c r="B48" s="5" t="n"/>
      <c r="F48" s="32"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row>
    <row r="49">
      <c r="B49" s="5" t="inlineStr">
        <is>
          <t>Cosy pre-adoption consumption (kWh)</t>
        </is>
      </c>
      <c r="F49" s="32">
        <f>($F142*$C157 + $F143*$C158 + $F144*$C159 + $F145*$C160)*365</f>
        <v/>
      </c>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row>
    <row r="50">
      <c r="B50" s="5" t="inlineStr">
        <is>
          <t>Cosy pre-adoption elec costs per year (£)</t>
        </is>
      </c>
      <c r="F50" s="14">
        <f>F49*F163 + F131*365</f>
        <v/>
      </c>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row>
    <row r="51">
      <c r="B51" s="5" t="inlineStr">
        <is>
          <t>Cosy savings (% of costs)</t>
        </is>
      </c>
      <c r="F51" s="28">
        <f>F36/F50</f>
        <v/>
      </c>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row>
    <row r="52">
      <c r="B52" s="5" t="n"/>
      <c r="F52" s="28"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row>
    <row r="53">
      <c r="B53" s="5" t="inlineStr">
        <is>
          <t>Peak period reduction per half-hour (%)</t>
        </is>
      </c>
      <c r="F53" s="28">
        <f>F147/F142</f>
        <v/>
      </c>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row>
    <row r="54">
      <c r="B54" s="5" t="inlineStr">
        <is>
          <t>Other period reduction per half-hour (%)</t>
        </is>
      </c>
      <c r="F54" s="28">
        <f>F148/F143</f>
        <v/>
      </c>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row>
    <row r="55">
      <c r="B55" s="5" t="inlineStr">
        <is>
          <t>Cosy morning increase per half-hour (%)</t>
        </is>
      </c>
      <c r="F55" s="28">
        <f>F149/F144</f>
        <v/>
      </c>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row>
    <row r="56">
      <c r="B56" s="5" t="inlineStr">
        <is>
          <t>Cosy afternoon increase per half-hour (%)</t>
        </is>
      </c>
      <c r="F56" s="28">
        <f>F150/F145</f>
        <v/>
      </c>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row>
    <row r="57">
      <c r="B57" s="5"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row>
    <row r="58">
      <c r="B58" s="5" t="inlineStr">
        <is>
          <t>Peak period elasticity</t>
        </is>
      </c>
      <c r="F58" s="33">
        <f>F53/50%</f>
        <v/>
      </c>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row>
    <row r="59">
      <c r="B59" s="5" t="inlineStr">
        <is>
          <t>Other period elasticity</t>
        </is>
      </c>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row>
    <row r="60">
      <c r="B60" s="5" t="inlineStr">
        <is>
          <t>Cosy morning elasticity</t>
        </is>
      </c>
      <c r="F60" s="33">
        <f>F55/-50%</f>
        <v/>
      </c>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row>
    <row r="61">
      <c r="B61" s="5" t="inlineStr">
        <is>
          <t>Cosy afternoon elasticity</t>
        </is>
      </c>
      <c r="F61" s="33">
        <f>F56/-50%</f>
        <v/>
      </c>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row>
    <row r="62">
      <c r="B62" s="5"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row>
    <row r="63">
      <c r="B63" s="5" t="inlineStr">
        <is>
          <t>HP (HMG prices) + Cosy £ change to customer</t>
        </is>
      </c>
      <c r="F63" s="14">
        <f>F31+F36</f>
        <v/>
      </c>
      <c r="G63" s="14">
        <f>G31+G36</f>
        <v/>
      </c>
      <c r="H63" s="14">
        <f>H31+H36</f>
        <v/>
      </c>
      <c r="I63" s="14">
        <f>I31+I36</f>
        <v/>
      </c>
      <c r="J63" s="14">
        <f>J31+J36</f>
        <v/>
      </c>
      <c r="K63" s="14">
        <f>K31+K36</f>
        <v/>
      </c>
      <c r="L63" s="14">
        <f>L31+L36</f>
        <v/>
      </c>
      <c r="M63" s="14">
        <f>M31+M36</f>
        <v/>
      </c>
      <c r="N63" s="14">
        <f>N31+N36</f>
        <v/>
      </c>
      <c r="O63" s="14">
        <f>O31+O36</f>
        <v/>
      </c>
      <c r="P63" s="14">
        <f>P31+P36</f>
        <v/>
      </c>
      <c r="Q63" s="14">
        <f>Q31+Q36</f>
        <v/>
      </c>
      <c r="R63" s="14">
        <f>R31+R36</f>
        <v/>
      </c>
      <c r="S63" s="14">
        <f>S31+S36</f>
        <v/>
      </c>
      <c r="T63" s="14">
        <f>T31+T36</f>
        <v/>
      </c>
      <c r="U63" s="14">
        <f>U31+U36</f>
        <v/>
      </c>
      <c r="V63" s="14">
        <f>V31+V36</f>
        <v/>
      </c>
      <c r="W63" s="14">
        <f>W31+W36</f>
        <v/>
      </c>
      <c r="X63" s="14">
        <f>X31+X36</f>
        <v/>
      </c>
      <c r="Y63" s="14">
        <f>Y31+Y36</f>
        <v/>
      </c>
      <c r="Z63" s="14" t="n"/>
    </row>
    <row r="64">
      <c r="B64" s="5" t="inlineStr">
        <is>
          <t>HP + Cosy £ change to customer if gas standing charge is eliminated</t>
        </is>
      </c>
      <c r="F64" s="14">
        <f>F32+F36</f>
        <v/>
      </c>
      <c r="G64" s="14">
        <f>G32+G36</f>
        <v/>
      </c>
      <c r="H64" s="14">
        <f>H32+H36</f>
        <v/>
      </c>
      <c r="I64" s="14">
        <f>I32+I36</f>
        <v/>
      </c>
      <c r="J64" s="14">
        <f>J32+J36</f>
        <v/>
      </c>
      <c r="K64" s="14">
        <f>K32+K36</f>
        <v/>
      </c>
      <c r="L64" s="14">
        <f>L32+L36</f>
        <v/>
      </c>
      <c r="M64" s="14">
        <f>M32+M36</f>
        <v/>
      </c>
      <c r="N64" s="14">
        <f>N32+N36</f>
        <v/>
      </c>
      <c r="O64" s="14">
        <f>O32+O36</f>
        <v/>
      </c>
      <c r="P64" s="14">
        <f>P32+P36</f>
        <v/>
      </c>
      <c r="Q64" s="14">
        <f>Q32+Q36</f>
        <v/>
      </c>
      <c r="R64" s="14">
        <f>R32+R36</f>
        <v/>
      </c>
      <c r="S64" s="14">
        <f>S32+S36</f>
        <v/>
      </c>
      <c r="T64" s="14">
        <f>T32+T36</f>
        <v/>
      </c>
      <c r="U64" s="14">
        <f>U32+U36</f>
        <v/>
      </c>
      <c r="V64" s="14">
        <f>V32+V36</f>
        <v/>
      </c>
      <c r="W64" s="14">
        <f>W32+W36</f>
        <v/>
      </c>
      <c r="X64" s="14">
        <f>X32+X36</f>
        <v/>
      </c>
      <c r="Y64" s="14">
        <f>Y32+Y36</f>
        <v/>
      </c>
      <c r="Z64" s="14" t="n"/>
    </row>
    <row r="65">
      <c r="B65" s="5" t="n"/>
      <c r="C65" s="262" t="n"/>
      <c r="D65" s="262" t="n"/>
      <c r="E65" s="262" t="n"/>
      <c r="F65" s="262" t="n"/>
      <c r="G65" s="262" t="n"/>
      <c r="H65" s="262" t="n"/>
      <c r="I65" s="262" t="n"/>
      <c r="J65" s="262" t="n"/>
      <c r="K65" s="262" t="n"/>
      <c r="L65" s="262" t="n"/>
      <c r="M65" s="262" t="n"/>
      <c r="N65" s="262" t="n"/>
    </row>
    <row r="66">
      <c r="B66" s="5" t="inlineStr">
        <is>
          <t>NPV running costs to customer of HP if gas standing charge eliminated (positive means costs)</t>
        </is>
      </c>
      <c r="C66" s="262" t="n"/>
      <c r="D66" s="262" t="n"/>
      <c r="E66" s="262" t="n"/>
      <c r="F66" s="14">
        <f t="array" ref="F66">(F32+ npv(C$91,G32:Z32))</f>
        <v/>
      </c>
      <c r="G66" s="262" t="n"/>
      <c r="H66" s="262" t="n"/>
      <c r="I66" s="262" t="n"/>
      <c r="J66" s="262" t="n"/>
      <c r="K66" s="262" t="n"/>
      <c r="M66" s="262" t="n"/>
      <c r="N66" s="262" t="n"/>
    </row>
    <row r="67">
      <c r="B67" s="5" t="inlineStr">
        <is>
          <t>NPV running costs to customer of Cosy</t>
        </is>
      </c>
      <c r="C67" s="262" t="n"/>
      <c r="D67" s="262" t="n"/>
      <c r="E67" s="262" t="n"/>
      <c r="F67" s="14">
        <f t="array" ref="F67">F36+ npv(C$91,G36:Z36)</f>
        <v/>
      </c>
      <c r="G67" s="262" t="n"/>
      <c r="H67" s="262" t="n"/>
      <c r="I67" s="262" t="n"/>
      <c r="J67" s="262" t="n"/>
      <c r="K67" s="262" t="n"/>
      <c r="L67" s="262" t="n"/>
      <c r="M67" s="262" t="n"/>
      <c r="N67" s="262" t="n"/>
    </row>
    <row r="68">
      <c r="B68" s="5" t="inlineStr">
        <is>
          <t>Net private cost of the heat pump</t>
        </is>
      </c>
      <c r="C68" s="262" t="n"/>
      <c r="D68" s="262" t="n"/>
      <c r="F68" s="262" t="n"/>
      <c r="G68" s="262" t="n"/>
      <c r="H68" s="262" t="n"/>
      <c r="I68" s="262" t="n"/>
      <c r="J68" s="262" t="n"/>
      <c r="K68" s="262" t="n"/>
      <c r="L68" s="262" t="n"/>
      <c r="M68" s="262" t="n"/>
      <c r="N68" s="262" t="n"/>
    </row>
    <row r="69">
      <c r="B69" s="5" t="n"/>
      <c r="C69" s="262" t="n"/>
      <c r="D69" s="262" t="n"/>
      <c r="F69" s="262" t="n"/>
      <c r="G69" s="262" t="n"/>
      <c r="H69" s="262" t="n"/>
      <c r="I69" s="262" t="n"/>
      <c r="J69" s="262" t="n"/>
      <c r="K69" s="262" t="n"/>
      <c r="L69" s="262" t="n"/>
      <c r="M69" s="262" t="n"/>
      <c r="N69" s="262" t="n"/>
    </row>
    <row r="70">
      <c r="B70" s="5" t="inlineStr">
        <is>
          <t>Change in VAT on energy (op ex) revenue for Govt (positive means extra; negative means less)</t>
        </is>
      </c>
      <c r="C70" s="262" t="n"/>
      <c r="D70" s="262" t="n"/>
      <c r="E70" s="262" t="n"/>
      <c r="F70" s="34">
        <f> 5% * (C108*F134 + C109*F135)</f>
        <v/>
      </c>
      <c r="G70" s="34">
        <f>5%* (D108*G134 + D109*G135)</f>
        <v/>
      </c>
      <c r="H70" s="34">
        <f>5%* (E108*H134 + E109*H135)</f>
        <v/>
      </c>
      <c r="I70" s="34">
        <f>5%* (F108*I134 + F109*I135)</f>
        <v/>
      </c>
      <c r="J70" s="34">
        <f>5%* (G108*J134 + G109*J135)</f>
        <v/>
      </c>
      <c r="K70" s="34">
        <f>5%* (H108*K134 + H109*K135)</f>
        <v/>
      </c>
      <c r="L70" s="34">
        <f>5%* (I108*L134 + I109*L135)</f>
        <v/>
      </c>
      <c r="M70" s="34">
        <f>5%* (J108*M134 + J109*M135)</f>
        <v/>
      </c>
      <c r="N70" s="34">
        <f>5%* (K108*N134 + K109*N135)</f>
        <v/>
      </c>
      <c r="O70" s="34">
        <f>5%* (L108*O134 + L109*O135)</f>
        <v/>
      </c>
      <c r="P70" s="34">
        <f>5%* (M108*P134 + M109*P135)</f>
        <v/>
      </c>
      <c r="Q70" s="34">
        <f>5%* (N108*Q134 + N109*Q135)</f>
        <v/>
      </c>
      <c r="R70" s="34">
        <f>5%* (O108*R134 + O109*R135)</f>
        <v/>
      </c>
      <c r="S70" s="34">
        <f>5%* (P108*S134 + P109*S135)</f>
        <v/>
      </c>
      <c r="T70" s="34">
        <f>5%* (Q108*T134 + Q109*T135)</f>
        <v/>
      </c>
      <c r="U70" s="34">
        <f>5%* (R108*U134 + R109*U135)</f>
        <v/>
      </c>
      <c r="V70" s="34">
        <f>5%* (S108*V134 + S109*V135)</f>
        <v/>
      </c>
      <c r="W70" s="34">
        <f>5%* (T108*W134 + T109*W135)</f>
        <v/>
      </c>
      <c r="X70" s="34">
        <f>5%* (U108*X134 + U109*X135)</f>
        <v/>
      </c>
      <c r="Y70" s="34">
        <f>5%* (V108*Y134 + V109*Y135)</f>
        <v/>
      </c>
      <c r="Z70" s="34" t="n"/>
    </row>
    <row r="71">
      <c r="B71" s="5" t="inlineStr">
        <is>
          <t>NPV change in VAT revenue energy</t>
        </is>
      </c>
      <c r="C71" s="262" t="n"/>
      <c r="D71" s="262" t="n"/>
      <c r="E71" s="262" t="n"/>
      <c r="F71" s="15">
        <f t="array" ref="F71">F70+ npv(C$91,G70:Z70)</f>
        <v/>
      </c>
      <c r="G71" s="34" t="n"/>
      <c r="H71" s="34" t="n"/>
      <c r="I71" s="34" t="n"/>
      <c r="J71" s="34" t="n"/>
      <c r="K71" s="34" t="n"/>
      <c r="L71" s="34" t="n"/>
      <c r="M71" s="34" t="n"/>
      <c r="N71" s="34" t="n"/>
      <c r="O71" s="34" t="n"/>
      <c r="P71" s="34" t="n"/>
      <c r="Q71" s="34" t="n"/>
      <c r="R71" s="34" t="n"/>
      <c r="S71" s="34" t="n"/>
      <c r="T71" s="34" t="n"/>
      <c r="U71" s="34" t="n"/>
      <c r="V71" s="34" t="n"/>
      <c r="W71" s="34" t="n"/>
      <c r="X71" s="34" t="n"/>
      <c r="Y71" s="34" t="n"/>
      <c r="Z71" s="34" t="n"/>
    </row>
    <row r="72">
      <c r="B72" s="5" t="n"/>
      <c r="C72" s="262" t="n"/>
      <c r="D72" s="262" t="n"/>
      <c r="E72" s="262" t="n"/>
      <c r="G72" s="262" t="n"/>
      <c r="H72" s="262" t="n"/>
      <c r="I72" s="262" t="n"/>
      <c r="J72" s="262" t="n"/>
      <c r="K72" s="262" t="n"/>
      <c r="L72" s="262" t="n"/>
      <c r="M72" s="262" t="n"/>
      <c r="N72" s="262" t="n"/>
    </row>
    <row r="73">
      <c r="B73" s="5" t="inlineStr">
        <is>
          <t>Change in VAT from boiler 20% vs HP 0% / 5%</t>
        </is>
      </c>
      <c r="C73" s="262" t="n"/>
      <c r="D73" s="262" t="n"/>
      <c r="E73" s="262" t="n"/>
      <c r="F73" s="15">
        <f>-20%*$F$128 + 0%*$F$125</f>
        <v/>
      </c>
    </row>
    <row r="74">
      <c r="B74" s="5" t="n"/>
      <c r="C74" s="262" t="n"/>
      <c r="D74" s="262" t="n"/>
      <c r="E74" s="262" t="n"/>
      <c r="G74" s="262" t="n"/>
      <c r="H74" s="262" t="n"/>
      <c r="I74" s="262" t="n"/>
      <c r="J74" s="262" t="n"/>
      <c r="K74" s="262" t="n"/>
      <c r="L74" s="262" t="n"/>
      <c r="M74" s="262" t="n"/>
      <c r="N74" s="262" t="n"/>
    </row>
    <row r="75">
      <c r="B75" s="5" t="inlineStr">
        <is>
          <t>Change in ETS revenue (positive means extra)</t>
        </is>
      </c>
      <c r="C75" s="262" t="n"/>
      <c r="D75" s="262" t="n"/>
      <c r="E75" s="262" t="n"/>
      <c r="F75" s="14">
        <f>F108*F116*F102 / 1000</f>
        <v/>
      </c>
      <c r="G75" s="14">
        <f>G108*G116*G102 / 1000</f>
        <v/>
      </c>
      <c r="H75" s="14">
        <f>H108*H116*H102 / 1000</f>
        <v/>
      </c>
      <c r="I75" s="14">
        <f>I108*I116*I102 / 1000</f>
        <v/>
      </c>
      <c r="J75" s="14">
        <f>J108*J116*J102 / 1000</f>
        <v/>
      </c>
      <c r="K75" s="14">
        <f>K108*K116*K102 / 1000</f>
        <v/>
      </c>
      <c r="L75" s="14">
        <f>L108*L116*L102 / 1000</f>
        <v/>
      </c>
      <c r="M75" s="14">
        <f>M108*M116*M102 / 1000</f>
        <v/>
      </c>
      <c r="N75" s="14">
        <f>N108*N116*N102 / 1000</f>
        <v/>
      </c>
      <c r="O75" s="14">
        <f>O108*O116*O102 / 1000</f>
        <v/>
      </c>
      <c r="P75" s="14">
        <f>P108*P116*P102 / 1000</f>
        <v/>
      </c>
      <c r="Q75" s="14">
        <f>Q108*Q116*Q102 / 1000</f>
        <v/>
      </c>
      <c r="R75" s="14">
        <f>R108*R116*R102 / 1000</f>
        <v/>
      </c>
      <c r="S75" s="14">
        <f>S108*S116*S102 / 1000</f>
        <v/>
      </c>
      <c r="T75" s="14">
        <f>T108*T116*T102 / 1000</f>
        <v/>
      </c>
      <c r="U75" s="14">
        <f>U108*U116*U102 / 1000</f>
        <v/>
      </c>
      <c r="V75" s="14">
        <f>V108*V116*V102 / 1000</f>
        <v/>
      </c>
      <c r="W75" s="14">
        <f>W108*W116*W102 / 1000</f>
        <v/>
      </c>
      <c r="X75" s="14">
        <f>X108*X116*X102 / 1000</f>
        <v/>
      </c>
      <c r="Y75" s="14">
        <f>Y108*Y116*Y102 / 1000</f>
        <v/>
      </c>
    </row>
    <row r="76">
      <c r="B76" s="5" t="inlineStr">
        <is>
          <t>NPV change in ETS revenue</t>
        </is>
      </c>
      <c r="C76" s="262" t="n"/>
      <c r="D76" s="262" t="n"/>
      <c r="E76" s="262" t="n"/>
      <c r="F76" s="14">
        <f t="array" ref="F76">F75+npv(C$91,G75:Z75)</f>
        <v/>
      </c>
      <c r="G76" s="262" t="n"/>
      <c r="H76" s="262" t="n"/>
      <c r="I76" s="262" t="n"/>
      <c r="J76" s="262" t="n"/>
      <c r="K76" s="262" t="n"/>
      <c r="L76" s="262" t="n"/>
      <c r="M76" s="262" t="n"/>
      <c r="N76" s="262" t="n"/>
    </row>
    <row r="77">
      <c r="B77" s="5" t="n"/>
      <c r="C77" s="262" t="n"/>
      <c r="D77" s="262" t="n"/>
      <c r="E77" s="262" t="n"/>
      <c r="G77" s="262" t="n"/>
      <c r="H77" s="262" t="n"/>
      <c r="I77" s="262" t="n"/>
      <c r="J77" s="262" t="n"/>
      <c r="K77" s="262" t="n"/>
      <c r="L77" s="262" t="n"/>
      <c r="M77" s="262" t="n"/>
      <c r="N77" s="262" t="n"/>
    </row>
    <row r="78">
      <c r="B78" s="5" t="inlineStr">
        <is>
          <t>Total FEs</t>
        </is>
      </c>
      <c r="C78" s="262" t="n"/>
      <c r="D78" s="262" t="n"/>
      <c r="E78" s="262" t="n"/>
      <c r="F78" s="14">
        <f>F76+F73+F71+F19</f>
        <v/>
      </c>
      <c r="G78" s="262" t="n"/>
      <c r="H78" s="262" t="n"/>
      <c r="I78" s="262" t="n"/>
      <c r="J78" s="262" t="n"/>
      <c r="K78" s="262" t="n"/>
      <c r="L78" s="262" t="n"/>
      <c r="M78" s="262" t="n"/>
      <c r="N78" s="262" t="n"/>
    </row>
    <row r="79">
      <c r="B79" s="5" t="n"/>
      <c r="C79" s="262" t="n"/>
      <c r="D79" s="262" t="n"/>
      <c r="E79" s="262" t="n"/>
      <c r="G79" s="262" t="n"/>
      <c r="H79" s="262" t="n"/>
      <c r="I79" s="262" t="n"/>
      <c r="J79" s="262" t="n"/>
      <c r="K79" s="262" t="n"/>
      <c r="L79" s="262" t="n"/>
      <c r="M79" s="262" t="n"/>
      <c r="N79" s="262" t="n"/>
    </row>
    <row r="80">
      <c r="B80" s="5" t="inlineStr">
        <is>
          <t>HP gas decrease as % of elec increase</t>
        </is>
      </c>
      <c r="C80" s="35">
        <f>C109/C108</f>
        <v/>
      </c>
      <c r="D80" s="262" t="n"/>
      <c r="E80" s="262" t="n"/>
      <c r="G80" s="262" t="n"/>
      <c r="H80" s="262" t="n"/>
      <c r="I80" s="262" t="n"/>
      <c r="J80" s="262" t="n"/>
      <c r="K80" s="262" t="n"/>
      <c r="L80" s="262" t="n"/>
      <c r="M80" s="262" t="n"/>
      <c r="N80" s="262" t="n"/>
    </row>
    <row r="81">
      <c r="B81" s="5" t="n"/>
      <c r="F81" s="32" t="n"/>
      <c r="G81" s="14" t="n"/>
      <c r="H81" s="14" t="n"/>
      <c r="I81" s="14" t="n"/>
      <c r="K81" s="14" t="n"/>
      <c r="L81" s="14" t="n"/>
      <c r="M81" s="14" t="n"/>
      <c r="N81" s="14" t="n"/>
      <c r="O81" s="14" t="n"/>
      <c r="P81" s="14" t="n"/>
      <c r="Q81" s="14" t="n"/>
      <c r="R81" s="14" t="n"/>
      <c r="S81" s="14" t="n"/>
      <c r="T81" s="14" t="n"/>
      <c r="U81" s="14" t="n"/>
      <c r="V81" s="14" t="n"/>
      <c r="W81" s="14" t="n"/>
      <c r="X81" s="14" t="n"/>
      <c r="Y81" s="14" t="n"/>
      <c r="Z81" s="14" t="n"/>
    </row>
    <row r="82">
      <c r="B82" s="5" t="inlineStr">
        <is>
          <t>Wholesale costs savings (Cosy)</t>
        </is>
      </c>
      <c r="D82" s="14">
        <f>($F147*$C157*D166 + $F148*$C158*D167 + $F149*$C159*D168 + $F150*$C160*D169)*365</f>
        <v/>
      </c>
      <c r="E82" s="14">
        <f>($F147*$C157*E166 + $F148*$C158*E167 + $F149*$C159*E168 + $F150*$C160*E169)*365</f>
        <v/>
      </c>
      <c r="F82" s="14">
        <f>($F147*$C157*F166 + $F148*$C158*F167 + $F149*$C159*F168 + $F150*$C160*F169)*365</f>
        <v/>
      </c>
    </row>
    <row r="83">
      <c r="B83" s="5" t="n"/>
      <c r="F83" s="14" t="n"/>
    </row>
    <row r="84">
      <c r="B84" s="5" t="inlineStr">
        <is>
          <t xml:space="preserve">LBD enviro benefits 3.5% discount rate </t>
        </is>
      </c>
      <c r="C84" s="14" t="n">
        <v>3192.62</v>
      </c>
      <c r="D84" s="9">
        <f>C84/7500</f>
        <v/>
      </c>
    </row>
    <row r="85">
      <c r="B85" s="5" t="inlineStr">
        <is>
          <t xml:space="preserve">LBD price benefits 3.5% discount rate </t>
        </is>
      </c>
      <c r="C85" s="14" t="n">
        <v>1697.59</v>
      </c>
      <c r="D85" s="9">
        <f>C85/7500</f>
        <v/>
      </c>
      <c r="F85" s="14" t="n"/>
    </row>
    <row r="86">
      <c r="B86" s="5" t="inlineStr">
        <is>
          <t>MVPF numerator if including the LBD benefits</t>
        </is>
      </c>
      <c r="C86" s="14">
        <f>M3+sum(C84:C85)</f>
        <v/>
      </c>
      <c r="F86" s="14" t="n"/>
    </row>
    <row r="87">
      <c r="B87" s="5" t="inlineStr">
        <is>
          <t>MVPF</t>
        </is>
      </c>
      <c r="C87" s="9">
        <f>C86/S3</f>
        <v/>
      </c>
      <c r="F87" s="14" t="n"/>
    </row>
    <row r="88">
      <c r="B88" s="5" t="n"/>
      <c r="F88" s="14" t="n"/>
    </row>
    <row r="89">
      <c r="B89" s="5" t="n"/>
      <c r="F89" s="14" t="n"/>
    </row>
    <row r="90">
      <c r="A90" s="1" t="inlineStr">
        <is>
          <t>Inputs</t>
        </is>
      </c>
      <c r="B90" s="5" t="n"/>
      <c r="C90" s="24" t="inlineStr">
        <is>
          <t>Constants</t>
        </is>
      </c>
      <c r="D90" s="24" t="n">
        <v>2022</v>
      </c>
      <c r="E90" s="24" t="n">
        <v>2023</v>
      </c>
      <c r="F90" s="24" t="n">
        <v>2024</v>
      </c>
      <c r="G90" s="24" t="n">
        <v>2025</v>
      </c>
      <c r="H90" s="24" t="n">
        <v>2026</v>
      </c>
      <c r="I90" s="24" t="n">
        <v>2027</v>
      </c>
      <c r="J90" s="24" t="n">
        <v>2028</v>
      </c>
      <c r="K90" s="24" t="n">
        <v>2029</v>
      </c>
      <c r="L90" s="24" t="n">
        <v>2030</v>
      </c>
      <c r="M90" s="24" t="n">
        <v>2031</v>
      </c>
      <c r="N90" s="24" t="n">
        <v>2032</v>
      </c>
      <c r="O90" s="24" t="n">
        <v>2033</v>
      </c>
      <c r="P90" s="24" t="n">
        <v>2034</v>
      </c>
      <c r="Q90" s="24" t="n">
        <v>2035</v>
      </c>
      <c r="R90" s="24" t="n">
        <v>2036</v>
      </c>
      <c r="S90" s="24" t="n">
        <v>2037</v>
      </c>
      <c r="T90" s="24" t="n">
        <v>2038</v>
      </c>
      <c r="U90" s="24" t="n">
        <v>2039</v>
      </c>
      <c r="V90" s="24" t="n">
        <v>2040</v>
      </c>
      <c r="W90" s="24" t="n">
        <v>2041</v>
      </c>
      <c r="X90" s="24" t="n">
        <v>2042</v>
      </c>
      <c r="Y90" s="24" t="n">
        <v>2043</v>
      </c>
      <c r="Z90" s="24" t="n"/>
    </row>
    <row r="91">
      <c r="A91" s="262" t="n"/>
      <c r="B91" s="5" t="inlineStr">
        <is>
          <t>Discount rate</t>
        </is>
      </c>
      <c r="C91" s="36" t="n">
        <v>0.035</v>
      </c>
    </row>
    <row r="92">
      <c r="A92" s="262" t="n"/>
      <c r="B92" s="5" t="inlineStr">
        <is>
          <t>Discount rate for air quality costs/benefits</t>
        </is>
      </c>
      <c r="C92" s="37" t="n">
        <v>0.015</v>
      </c>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row>
    <row r="93">
      <c r="A93" s="262" t="n"/>
      <c r="B93" s="5" t="n"/>
      <c r="D93" s="38" t="n"/>
      <c r="E93" s="38" t="n"/>
      <c r="F93" s="38" t="n"/>
      <c r="G93" s="38" t="n"/>
      <c r="H93" s="38" t="n"/>
      <c r="I93" s="38" t="n"/>
      <c r="J93" s="38" t="n"/>
      <c r="K93" s="38" t="n"/>
      <c r="L93" s="38" t="n"/>
      <c r="M93" s="38" t="n"/>
      <c r="N93" s="38" t="n"/>
      <c r="O93" s="38" t="n"/>
      <c r="P93" s="38" t="n"/>
      <c r="Q93" s="38" t="n"/>
      <c r="R93" s="38" t="n"/>
      <c r="S93" s="38" t="n"/>
      <c r="T93" s="38" t="n"/>
      <c r="U93" s="38" t="n"/>
      <c r="V93" s="38" t="n"/>
      <c r="W93" s="38" t="n"/>
      <c r="X93" s="38" t="n"/>
      <c r="Y93" s="38" t="n"/>
      <c r="Z93" s="14" t="n"/>
    </row>
    <row r="94">
      <c r="A94" s="262" t="n"/>
      <c r="B94" s="4" t="inlineStr">
        <is>
          <t>SCC used in calculations</t>
        </is>
      </c>
      <c r="D94" s="38">
        <f>D96</f>
        <v/>
      </c>
      <c r="E94" s="38">
        <f>E96</f>
        <v/>
      </c>
      <c r="F94" s="38">
        <f>F96</f>
        <v/>
      </c>
      <c r="G94" s="38">
        <f>G96</f>
        <v/>
      </c>
      <c r="H94" s="38">
        <f>H96</f>
        <v/>
      </c>
      <c r="I94" s="38">
        <f>I96</f>
        <v/>
      </c>
      <c r="J94" s="38">
        <f>J96</f>
        <v/>
      </c>
      <c r="K94" s="38">
        <f>K96</f>
        <v/>
      </c>
      <c r="L94" s="38">
        <f>L96</f>
        <v/>
      </c>
      <c r="M94" s="38">
        <f>M96</f>
        <v/>
      </c>
      <c r="N94" s="38">
        <f>N96</f>
        <v/>
      </c>
      <c r="O94" s="38">
        <f>O96</f>
        <v/>
      </c>
      <c r="P94" s="38">
        <f>P96</f>
        <v/>
      </c>
      <c r="Q94" s="38">
        <f>Q96</f>
        <v/>
      </c>
      <c r="R94" s="38">
        <f>R96</f>
        <v/>
      </c>
      <c r="S94" s="38">
        <f>S96</f>
        <v/>
      </c>
      <c r="T94" s="38">
        <f>T96</f>
        <v/>
      </c>
      <c r="U94" s="38">
        <f>U96</f>
        <v/>
      </c>
      <c r="V94" s="38">
        <f>V96</f>
        <v/>
      </c>
      <c r="W94" s="38">
        <f>W96</f>
        <v/>
      </c>
      <c r="X94" s="38">
        <f>X96</f>
        <v/>
      </c>
      <c r="Y94" s="38">
        <f>Y96</f>
        <v/>
      </c>
      <c r="Z94" s="14" t="n"/>
    </row>
    <row r="95">
      <c r="A95" s="262" t="n"/>
      <c r="B95" s="5" t="inlineStr">
        <is>
          <t>Carbon value (£2020)</t>
        </is>
      </c>
      <c r="D95" s="38">
        <f>VLOOKUP(D$6,'SCC HMG'!$A$4:$D$35,3,false)</f>
        <v/>
      </c>
      <c r="E95" s="38">
        <f>VLOOKUP(E6,'SCC HMG'!$A$4:$D$35,3,false)</f>
        <v/>
      </c>
      <c r="F95" s="38">
        <f>VLOOKUP(F6,'SCC HMG'!$A$4:$D$35,3,false)</f>
        <v/>
      </c>
      <c r="G95" s="38">
        <f>VLOOKUP(G6,'SCC HMG'!$A$4:$D$35,3,false)</f>
        <v/>
      </c>
      <c r="H95" s="38">
        <f>VLOOKUP(H6,'SCC HMG'!$A$4:$D$35,3,false)</f>
        <v/>
      </c>
      <c r="I95" s="38">
        <f>VLOOKUP(I6,'SCC HMG'!$A$4:$D$35,3,false)</f>
        <v/>
      </c>
      <c r="J95" s="38">
        <f>VLOOKUP(J6,'SCC HMG'!$A$4:$D$35,3,false)</f>
        <v/>
      </c>
      <c r="K95" s="38">
        <f>VLOOKUP(K6,'SCC HMG'!$A$4:$D$35,3,false)</f>
        <v/>
      </c>
      <c r="L95" s="38">
        <f>VLOOKUP(L6,'SCC HMG'!$A$4:$D$35,3,false)</f>
        <v/>
      </c>
      <c r="M95" s="38">
        <f>VLOOKUP(M6,'SCC HMG'!$A$4:$D$35,3,false)</f>
        <v/>
      </c>
      <c r="N95" s="38">
        <f>VLOOKUP(N6,'SCC HMG'!$A$4:$D$35,3,false)</f>
        <v/>
      </c>
      <c r="O95" s="38">
        <f>VLOOKUP(O6,'SCC HMG'!$A$4:$D$35,3,false)</f>
        <v/>
      </c>
      <c r="P95" s="38">
        <f>VLOOKUP(P6,'SCC HMG'!$A$4:$D$35,3,false)</f>
        <v/>
      </c>
      <c r="Q95" s="38">
        <f>VLOOKUP(Q6,'SCC HMG'!$A$4:$D$35,3,false)</f>
        <v/>
      </c>
      <c r="R95" s="38">
        <f>VLOOKUP(R6,'SCC HMG'!$A$4:$D$35,3,false)</f>
        <v/>
      </c>
      <c r="S95" s="38">
        <f>VLOOKUP(S6,'SCC HMG'!$A$4:$D$35,3,false)</f>
        <v/>
      </c>
      <c r="T95" s="38">
        <f>VLOOKUP(T6,'SCC HMG'!$A$4:$D$35,3,false)</f>
        <v/>
      </c>
      <c r="U95" s="38">
        <f>VLOOKUP(U6,'SCC HMG'!$A$4:$D$35,3,false)</f>
        <v/>
      </c>
      <c r="V95" s="38">
        <f>VLOOKUP(V6,'SCC HMG'!$A$4:$D$35,3,false)</f>
        <v/>
      </c>
      <c r="W95" s="38">
        <f>VLOOKUP(W6,'SCC HMG'!$A$4:$D$35,3,false)</f>
        <v/>
      </c>
      <c r="X95" s="38">
        <f>VLOOKUP(X6,'SCC HMG'!$A$4:$D$35,3,false)</f>
        <v/>
      </c>
      <c r="Y95" s="38">
        <f>VLOOKUP(Y6,'SCC HMG'!$A$4:$D$35,3,false)</f>
        <v/>
      </c>
      <c r="Z95" s="14" t="n"/>
    </row>
    <row r="96">
      <c r="A96" s="262" t="n"/>
      <c r="B96" s="5" t="inlineStr">
        <is>
          <t>Carbon value (£2023)</t>
        </is>
      </c>
      <c r="D96" s="38">
        <f>D95/('GDP deflator'!$I$76/'GDP deflator'!$I$79)</f>
        <v/>
      </c>
      <c r="E96" s="38">
        <f>E95/('GDP deflator'!$I$76/'GDP deflator'!$I$79)</f>
        <v/>
      </c>
      <c r="F96" s="38">
        <f>F95/('GDP deflator'!$I$76/'GDP deflator'!$I$79)</f>
        <v/>
      </c>
      <c r="G96" s="38">
        <f>G95/('GDP deflator'!$I$76/'GDP deflator'!$I$79)</f>
        <v/>
      </c>
      <c r="H96" s="38">
        <f>H95/('GDP deflator'!$I$76/'GDP deflator'!$I$79)</f>
        <v/>
      </c>
      <c r="I96" s="38">
        <f>I95/('GDP deflator'!$I$76/'GDP deflator'!$I$79)</f>
        <v/>
      </c>
      <c r="J96" s="38">
        <f>J95/('GDP deflator'!$I$76/'GDP deflator'!$I$79)</f>
        <v/>
      </c>
      <c r="K96" s="38">
        <f>K95/('GDP deflator'!$I$76/'GDP deflator'!$I$79)</f>
        <v/>
      </c>
      <c r="L96" s="38">
        <f>L95/('GDP deflator'!$I$76/'GDP deflator'!$I$79)</f>
        <v/>
      </c>
      <c r="M96" s="38">
        <f>M95/('GDP deflator'!$I$76/'GDP deflator'!$I$79)</f>
        <v/>
      </c>
      <c r="N96" s="38">
        <f>N95/('GDP deflator'!$I$76/'GDP deflator'!$I$79)</f>
        <v/>
      </c>
      <c r="O96" s="38">
        <f>O95/('GDP deflator'!$I$76/'GDP deflator'!$I$79)</f>
        <v/>
      </c>
      <c r="P96" s="38">
        <f>P95/('GDP deflator'!$I$76/'GDP deflator'!$I$79)</f>
        <v/>
      </c>
      <c r="Q96" s="38">
        <f>Q95/('GDP deflator'!$I$76/'GDP deflator'!$I$79)</f>
        <v/>
      </c>
      <c r="R96" s="38">
        <f>R95/('GDP deflator'!$I$76/'GDP deflator'!$I$79)</f>
        <v/>
      </c>
      <c r="S96" s="38">
        <f>S95/('GDP deflator'!$I$76/'GDP deflator'!$I$79)</f>
        <v/>
      </c>
      <c r="T96" s="38">
        <f>T95/('GDP deflator'!$I$76/'GDP deflator'!$I$79)</f>
        <v/>
      </c>
      <c r="U96" s="38">
        <f>U95/('GDP deflator'!$I$76/'GDP deflator'!$I$79)</f>
        <v/>
      </c>
      <c r="V96" s="38">
        <f>V95/('GDP deflator'!$I$76/'GDP deflator'!$I$79)</f>
        <v/>
      </c>
      <c r="W96" s="38">
        <f>W95/('GDP deflator'!$I$76/'GDP deflator'!$I$79)</f>
        <v/>
      </c>
      <c r="X96" s="38">
        <f>X95/('GDP deflator'!$I$76/'GDP deflator'!$I$79)</f>
        <v/>
      </c>
      <c r="Y96" s="38">
        <f>Y95/('GDP deflator'!$I$76/'GDP deflator'!$I$79)</f>
        <v/>
      </c>
      <c r="Z96" s="14" t="n"/>
    </row>
    <row r="97">
      <c r="A97" s="262" t="n"/>
      <c r="B97" s="5" t="inlineStr">
        <is>
          <t>Carbon value (IWG, $2021)</t>
        </is>
      </c>
      <c r="D97" s="39">
        <f>VLOOKUP(D6,'SCC IWG'!$B$3:$E$34,3,false)</f>
        <v/>
      </c>
      <c r="E97" s="39">
        <f>VLOOKUP(E6,'SCC IWG'!$B$3:$E$34,3,false)</f>
        <v/>
      </c>
      <c r="F97" s="39">
        <f>VLOOKUP(F6,'SCC IWG'!$B$3:$E$34,3,false)</f>
        <v/>
      </c>
      <c r="G97" s="39">
        <f>VLOOKUP(G6,'SCC IWG'!$B$3:$E$34,3,false)</f>
        <v/>
      </c>
      <c r="H97" s="39">
        <f>VLOOKUP(H6,'SCC IWG'!$B$3:$E$34,3,false)</f>
        <v/>
      </c>
      <c r="I97" s="39">
        <f>VLOOKUP(I6,'SCC IWG'!$B$3:$E$34,3,false)</f>
        <v/>
      </c>
      <c r="J97" s="39">
        <f>VLOOKUP(J6,'SCC IWG'!$B$3:$E$34,3,false)</f>
        <v/>
      </c>
      <c r="K97" s="39">
        <f>VLOOKUP(K6,'SCC IWG'!$B$3:$E$34,3,false)</f>
        <v/>
      </c>
      <c r="L97" s="39">
        <f>VLOOKUP(L6,'SCC IWG'!$B$3:$E$34,3,false)</f>
        <v/>
      </c>
      <c r="M97" s="39">
        <f>VLOOKUP(M6,'SCC IWG'!$B$3:$E$34,3,false)</f>
        <v/>
      </c>
      <c r="N97" s="39">
        <f>VLOOKUP(N6,'SCC IWG'!$B$3:$E$34,3,false)</f>
        <v/>
      </c>
      <c r="O97" s="39">
        <f>VLOOKUP(O6,'SCC IWG'!$B$3:$E$34,3,false)</f>
        <v/>
      </c>
      <c r="P97" s="39">
        <f>VLOOKUP(P6,'SCC IWG'!$B$3:$E$34,3,false)</f>
        <v/>
      </c>
      <c r="Q97" s="39">
        <f>VLOOKUP(Q6,'SCC IWG'!$B$3:$E$34,3,false)</f>
        <v/>
      </c>
      <c r="R97" s="39">
        <f>VLOOKUP(R6,'SCC IWG'!$B$3:$E$34,3,false)</f>
        <v/>
      </c>
      <c r="S97" s="39">
        <f>VLOOKUP(S6,'SCC IWG'!$B$3:$E$34,3,false)</f>
        <v/>
      </c>
      <c r="T97" s="39">
        <f>VLOOKUP(T6,'SCC IWG'!$B$3:$E$34,3,false)</f>
        <v/>
      </c>
      <c r="U97" s="39">
        <f>VLOOKUP(U6,'SCC IWG'!$B$3:$E$34,3,false)</f>
        <v/>
      </c>
      <c r="V97" s="39">
        <f>VLOOKUP(V6,'SCC IWG'!$B$3:$E$34,3,false)</f>
        <v/>
      </c>
      <c r="W97" s="39">
        <f>VLOOKUP(W6,'SCC IWG'!$B$3:$E$34,3,false)</f>
        <v/>
      </c>
      <c r="X97" s="39">
        <f>VLOOKUP(X6,'SCC IWG'!$B$3:$E$34,3,false)</f>
        <v/>
      </c>
      <c r="Y97" s="39">
        <f>VLOOKUP(Y6,'SCC IWG'!$B$3:$E$34,3,false)</f>
        <v/>
      </c>
    </row>
    <row r="98">
      <c r="A98" s="262" t="n"/>
      <c r="B98" s="5" t="inlineStr">
        <is>
          <t>USD per GBP</t>
        </is>
      </c>
      <c r="C98" s="262" t="n">
        <v>0.8</v>
      </c>
    </row>
    <row r="99">
      <c r="A99" s="262" t="n"/>
      <c r="B99" s="5" t="inlineStr">
        <is>
          <t>Carbon value (IWG, £2021)</t>
        </is>
      </c>
      <c r="D99" s="38">
        <f>D97*$C98</f>
        <v/>
      </c>
      <c r="E99" s="38">
        <f>E97*$C98</f>
        <v/>
      </c>
      <c r="F99" s="38">
        <f>F97*$C98</f>
        <v/>
      </c>
      <c r="G99" s="38">
        <f>G97*$C98</f>
        <v/>
      </c>
      <c r="H99" s="38">
        <f>H97*$C98</f>
        <v/>
      </c>
      <c r="I99" s="38">
        <f>I97*$C98</f>
        <v/>
      </c>
      <c r="J99" s="38">
        <f>J97*$C98</f>
        <v/>
      </c>
      <c r="K99" s="38">
        <f>K97*$C98</f>
        <v/>
      </c>
      <c r="L99" s="38">
        <f>L97*$C98</f>
        <v/>
      </c>
      <c r="M99" s="38">
        <f>M97*$C98</f>
        <v/>
      </c>
      <c r="N99" s="38">
        <f>N97*$C98</f>
        <v/>
      </c>
      <c r="O99" s="38">
        <f>O97*$C98</f>
        <v/>
      </c>
      <c r="P99" s="38">
        <f>P97*$C98</f>
        <v/>
      </c>
      <c r="Q99" s="38">
        <f>Q97*$C98</f>
        <v/>
      </c>
      <c r="R99" s="38">
        <f>R97*$C98</f>
        <v/>
      </c>
      <c r="S99" s="38">
        <f>S97*$C98</f>
        <v/>
      </c>
      <c r="T99" s="38">
        <f>T97*$C98</f>
        <v/>
      </c>
      <c r="U99" s="38">
        <f>U97*$C98</f>
        <v/>
      </c>
      <c r="V99" s="38">
        <f>V97*$C98</f>
        <v/>
      </c>
      <c r="W99" s="38">
        <f>W97*$C98</f>
        <v/>
      </c>
      <c r="X99" s="38">
        <f>X97*$C98</f>
        <v/>
      </c>
      <c r="Y99" s="38">
        <f>Y97*$C98</f>
        <v/>
      </c>
    </row>
    <row r="100">
      <c r="A100" s="262" t="n"/>
      <c r="B100" s="5" t="inlineStr">
        <is>
          <t>Carbon value (IWG, £2023)</t>
        </is>
      </c>
      <c r="D100" s="38">
        <f>D99/('GDP deflator'!$I$77/'GDP deflator'!$I$79)</f>
        <v/>
      </c>
      <c r="E100" s="38">
        <f>E99/('GDP deflator'!$I$77/'GDP deflator'!$I$79)</f>
        <v/>
      </c>
      <c r="F100" s="38">
        <f>F99/('GDP deflator'!$I$77/'GDP deflator'!$I$79)</f>
        <v/>
      </c>
      <c r="G100" s="38">
        <f>G99/('GDP deflator'!$I$77/'GDP deflator'!$I$79)</f>
        <v/>
      </c>
      <c r="H100" s="38">
        <f>H99/('GDP deflator'!$I$77/'GDP deflator'!$I$79)</f>
        <v/>
      </c>
      <c r="I100" s="38">
        <f>I99/('GDP deflator'!$I$77/'GDP deflator'!$I$79)</f>
        <v/>
      </c>
      <c r="J100" s="38">
        <f>J99/('GDP deflator'!$I$77/'GDP deflator'!$I$79)</f>
        <v/>
      </c>
      <c r="K100" s="38">
        <f>K99/('GDP deflator'!$I$77/'GDP deflator'!$I$79)</f>
        <v/>
      </c>
      <c r="L100" s="38">
        <f>L99/('GDP deflator'!$I$77/'GDP deflator'!$I$79)</f>
        <v/>
      </c>
      <c r="M100" s="38">
        <f>M99/('GDP deflator'!$I$77/'GDP deflator'!$I$79)</f>
        <v/>
      </c>
      <c r="N100" s="38">
        <f>N99/('GDP deflator'!$I$77/'GDP deflator'!$I$79)</f>
        <v/>
      </c>
      <c r="O100" s="38">
        <f>O99/('GDP deflator'!$I$77/'GDP deflator'!$I$79)</f>
        <v/>
      </c>
      <c r="P100" s="38">
        <f>P99/('GDP deflator'!$I$77/'GDP deflator'!$I$79)</f>
        <v/>
      </c>
      <c r="Q100" s="38">
        <f>Q99/('GDP deflator'!$I$77/'GDP deflator'!$I$79)</f>
        <v/>
      </c>
      <c r="R100" s="38">
        <f>R99/('GDP deflator'!$I$77/'GDP deflator'!$I$79)</f>
        <v/>
      </c>
      <c r="S100" s="38">
        <f>S99/('GDP deflator'!$I$77/'GDP deflator'!$I$79)</f>
        <v/>
      </c>
      <c r="T100" s="38">
        <f>T99/('GDP deflator'!$I$77/'GDP deflator'!$I$79)</f>
        <v/>
      </c>
      <c r="U100" s="38">
        <f>U99/('GDP deflator'!$I$77/'GDP deflator'!$I$79)</f>
        <v/>
      </c>
      <c r="V100" s="38">
        <f>V99/('GDP deflator'!$I$77/'GDP deflator'!$I$79)</f>
        <v/>
      </c>
      <c r="W100" s="38">
        <f>W99/('GDP deflator'!$I$77/'GDP deflator'!$I$79)</f>
        <v/>
      </c>
      <c r="X100" s="38">
        <f>X99/('GDP deflator'!$I$77/'GDP deflator'!$I$79)</f>
        <v/>
      </c>
      <c r="Y100" s="38">
        <f>Y99/('GDP deflator'!$I$77/'GDP deflator'!$I$79)</f>
        <v/>
      </c>
    </row>
    <row r="101">
      <c r="A101" s="262" t="n"/>
      <c r="B101" s="5" t="n"/>
    </row>
    <row r="102">
      <c r="B102" s="5" t="inlineStr">
        <is>
          <t>UK ETS £(2023) per ton CO2e</t>
        </is>
      </c>
      <c r="C102" s="262" t="n"/>
      <c r="D102" s="262" t="n"/>
      <c r="E102" s="262" t="n"/>
      <c r="F102" s="14">
        <f>VLOOKUP(F6,'UK ETS'!$A$6:$E$35,2,false)</f>
        <v/>
      </c>
      <c r="G102" s="14">
        <f>VLOOKUP(G6,'UK ETS'!$A$6:$E$35,2,false)</f>
        <v/>
      </c>
      <c r="H102" s="14">
        <f>VLOOKUP(H6,'UK ETS'!$A$6:$E$35,2,false)</f>
        <v/>
      </c>
      <c r="I102" s="14">
        <f>VLOOKUP(I6,'UK ETS'!$A$6:$E$35,2,false)</f>
        <v/>
      </c>
      <c r="J102" s="14">
        <f>VLOOKUP(J6,'UK ETS'!$A$6:$E$35,2,false)</f>
        <v/>
      </c>
      <c r="K102" s="14">
        <f>VLOOKUP(K6,'UK ETS'!$A$6:$E$35,2,false)</f>
        <v/>
      </c>
      <c r="L102" s="14">
        <f>VLOOKUP(L6,'UK ETS'!$A$6:$E$35,2,false)</f>
        <v/>
      </c>
      <c r="M102" s="14">
        <f>VLOOKUP(M6,'UK ETS'!$A$6:$E$35,2,false)</f>
        <v/>
      </c>
      <c r="N102" s="14">
        <f>VLOOKUP(N6,'UK ETS'!$A$6:$E$35,2,false)</f>
        <v/>
      </c>
      <c r="O102" s="14">
        <f>VLOOKUP(O6,'UK ETS'!$A$6:$E$35,2,false)</f>
        <v/>
      </c>
      <c r="P102" s="14">
        <f>VLOOKUP(P6,'UK ETS'!$A$6:$E$35,2,false)</f>
        <v/>
      </c>
      <c r="Q102" s="14">
        <f>VLOOKUP(Q6,'UK ETS'!$A$6:$E$35,2,false)</f>
        <v/>
      </c>
      <c r="R102" s="14">
        <f>VLOOKUP(R6,'UK ETS'!$A$6:$E$35,2,false)</f>
        <v/>
      </c>
      <c r="S102" s="14">
        <f>VLOOKUP(S6,'UK ETS'!$A$6:$E$35,2,false)</f>
        <v/>
      </c>
      <c r="T102" s="14">
        <f>VLOOKUP(T6,'UK ETS'!$A$6:$E$35,2,false)</f>
        <v/>
      </c>
      <c r="U102" s="14">
        <f>VLOOKUP(U6,'UK ETS'!$A$6:$E$35,2,false)</f>
        <v/>
      </c>
      <c r="V102" s="14">
        <f>VLOOKUP(V6,'UK ETS'!$A$6:$E$35,2,false)</f>
        <v/>
      </c>
      <c r="W102" s="14">
        <f>VLOOKUP(W6,'UK ETS'!$A$6:$E$35,2,false)</f>
        <v/>
      </c>
      <c r="X102" s="14">
        <f>VLOOKUP(X6,'UK ETS'!$A$6:$E$35,2,false)</f>
        <v/>
      </c>
      <c r="Y102" s="14">
        <f>VLOOKUP(Y6,'UK ETS'!$A$6:$E$35,2,false)</f>
        <v/>
      </c>
      <c r="Z102" s="14" t="n"/>
    </row>
    <row r="103">
      <c r="A103" s="262" t="n"/>
      <c r="B103" s="5" t="n"/>
    </row>
    <row r="104">
      <c r="A104" s="262" t="n"/>
      <c r="B104" s="5" t="inlineStr">
        <is>
          <t>UK proportion of global GDP</t>
        </is>
      </c>
      <c r="C104" s="28" t="n">
        <v>0.032</v>
      </c>
    </row>
    <row r="105">
      <c r="A105" s="262" t="n"/>
      <c r="B105" s="5" t="inlineStr">
        <is>
          <t>Proportion of UK GDP taxed</t>
        </is>
      </c>
      <c r="C105" s="37" t="n">
        <v>0.335</v>
      </c>
    </row>
    <row r="106">
      <c r="A106" s="262" t="n"/>
      <c r="B106" s="5" t="n"/>
      <c r="C106" s="37">
        <f>C105*C104</f>
        <v/>
      </c>
    </row>
    <row r="107">
      <c r="A107" s="40" t="inlineStr">
        <is>
          <t>HP</t>
        </is>
      </c>
      <c r="B107" s="5" t="n"/>
      <c r="C107" s="24" t="inlineStr">
        <is>
          <t>Constants</t>
        </is>
      </c>
      <c r="D107" s="24" t="n">
        <v>2022</v>
      </c>
      <c r="E107" s="24" t="n">
        <v>2023</v>
      </c>
      <c r="F107" s="24" t="n">
        <v>2024</v>
      </c>
      <c r="G107" s="24" t="n">
        <v>2025</v>
      </c>
      <c r="H107" s="24" t="n">
        <v>2026</v>
      </c>
      <c r="I107" s="24" t="n">
        <v>2027</v>
      </c>
      <c r="J107" s="24" t="n">
        <v>2028</v>
      </c>
      <c r="K107" s="24" t="n">
        <v>2029</v>
      </c>
      <c r="L107" s="24" t="n">
        <v>2030</v>
      </c>
      <c r="M107" s="24" t="n">
        <v>2031</v>
      </c>
      <c r="N107" s="24" t="n">
        <v>2032</v>
      </c>
      <c r="O107" s="24" t="n">
        <v>2033</v>
      </c>
      <c r="P107" s="24" t="n">
        <v>2034</v>
      </c>
      <c r="Q107" s="24" t="n">
        <v>2035</v>
      </c>
      <c r="R107" s="24" t="n">
        <v>2036</v>
      </c>
      <c r="S107" s="24" t="n">
        <v>2037</v>
      </c>
      <c r="T107" s="24" t="n">
        <v>2038</v>
      </c>
      <c r="U107" s="24" t="n">
        <v>2039</v>
      </c>
      <c r="V107" s="24" t="n">
        <v>2040</v>
      </c>
      <c r="W107" s="24" t="n">
        <v>2041</v>
      </c>
      <c r="X107" s="24" t="n">
        <v>2042</v>
      </c>
      <c r="Y107" s="24" t="n">
        <v>2043</v>
      </c>
      <c r="Z107" s="24" t="n"/>
    </row>
    <row r="108">
      <c r="A108" s="262" t="n"/>
      <c r="B108" s="5" t="inlineStr">
        <is>
          <t>Elec consumption change (kWh, annual)</t>
        </is>
      </c>
      <c r="C108" s="41" t="n">
        <v>3080</v>
      </c>
      <c r="D108" s="42">
        <f>C108</f>
        <v/>
      </c>
      <c r="E108" s="42">
        <f>D108</f>
        <v/>
      </c>
      <c r="F108" s="42">
        <f>E108</f>
        <v/>
      </c>
      <c r="G108" s="42">
        <f>F108</f>
        <v/>
      </c>
      <c r="H108" s="42">
        <f>G108</f>
        <v/>
      </c>
      <c r="I108" s="42">
        <f>H108</f>
        <v/>
      </c>
      <c r="J108" s="42">
        <f>I108</f>
        <v/>
      </c>
      <c r="K108" s="42">
        <f>J108</f>
        <v/>
      </c>
      <c r="L108" s="42">
        <f>K108</f>
        <v/>
      </c>
      <c r="M108" s="42">
        <f>L108</f>
        <v/>
      </c>
      <c r="N108" s="42">
        <f>M108</f>
        <v/>
      </c>
      <c r="O108" s="42">
        <f>N108</f>
        <v/>
      </c>
      <c r="P108" s="42">
        <f>O108</f>
        <v/>
      </c>
      <c r="Q108" s="42">
        <f>P108</f>
        <v/>
      </c>
      <c r="R108" s="42">
        <f>Q108</f>
        <v/>
      </c>
      <c r="S108" s="42">
        <f>R108</f>
        <v/>
      </c>
      <c r="T108" s="42">
        <f>S108</f>
        <v/>
      </c>
      <c r="U108" s="42">
        <f>T108</f>
        <v/>
      </c>
      <c r="V108" s="42">
        <f>U108</f>
        <v/>
      </c>
      <c r="W108" s="42">
        <f>V108</f>
        <v/>
      </c>
      <c r="X108" s="42">
        <f>W108</f>
        <v/>
      </c>
      <c r="Y108" s="42">
        <f>X108</f>
        <v/>
      </c>
      <c r="Z108" s="42" t="n"/>
    </row>
    <row r="109">
      <c r="A109" s="262" t="n"/>
      <c r="B109" s="5" t="inlineStr">
        <is>
          <t>Gas consumption change (kWh, annual)</t>
        </is>
      </c>
      <c r="C109" s="41" t="n">
        <v>-9350.700000000001</v>
      </c>
      <c r="D109" s="42">
        <f>C109</f>
        <v/>
      </c>
      <c r="E109" s="42">
        <f>D109</f>
        <v/>
      </c>
      <c r="F109" s="42">
        <f>E109</f>
        <v/>
      </c>
      <c r="G109" s="42">
        <f>F109</f>
        <v/>
      </c>
      <c r="H109" s="42">
        <f>G109</f>
        <v/>
      </c>
      <c r="I109" s="42">
        <f>H109</f>
        <v/>
      </c>
      <c r="J109" s="42">
        <f>I109</f>
        <v/>
      </c>
      <c r="K109" s="42">
        <f>J109</f>
        <v/>
      </c>
      <c r="L109" s="42">
        <f>K109</f>
        <v/>
      </c>
      <c r="M109" s="42">
        <f>L109</f>
        <v/>
      </c>
      <c r="N109" s="42">
        <f>M109</f>
        <v/>
      </c>
      <c r="O109" s="42">
        <f>N109</f>
        <v/>
      </c>
      <c r="P109" s="42">
        <f>O109</f>
        <v/>
      </c>
      <c r="Q109" s="42">
        <f>P109</f>
        <v/>
      </c>
      <c r="R109" s="42">
        <f>Q109</f>
        <v/>
      </c>
      <c r="S109" s="42">
        <f>R109</f>
        <v/>
      </c>
      <c r="T109" s="42">
        <f>S109</f>
        <v/>
      </c>
      <c r="U109" s="42">
        <f>T109</f>
        <v/>
      </c>
      <c r="V109" s="42">
        <f>U109</f>
        <v/>
      </c>
      <c r="W109" s="42">
        <f>V109</f>
        <v/>
      </c>
      <c r="X109" s="42">
        <f>W109</f>
        <v/>
      </c>
      <c r="Y109" s="42">
        <f>X109</f>
        <v/>
      </c>
      <c r="Z109" s="42" t="n"/>
    </row>
    <row r="110">
      <c r="B110" s="5" t="inlineStr">
        <is>
          <t>Overall energy change (kWh, annual)</t>
        </is>
      </c>
      <c r="C110" s="41" t="n">
        <v>-6119.8</v>
      </c>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row>
    <row r="111">
      <c r="B111" s="5"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row>
    <row r="112">
      <c r="B112" s="5" t="inlineStr">
        <is>
          <t>HP pre-adoption elec consumption</t>
        </is>
      </c>
      <c r="C112" s="37" t="n"/>
      <c r="F112" s="41" t="n">
        <v>5062.1</v>
      </c>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row>
    <row r="113">
      <c r="B113" s="5" t="inlineStr">
        <is>
          <t>HP pre-adoption gas consumption</t>
        </is>
      </c>
      <c r="F113" s="41" t="n">
        <v>10335.7</v>
      </c>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row>
    <row r="114">
      <c r="A114" s="262" t="n"/>
      <c r="B114" s="5" t="inlineStr">
        <is>
          <t>HP pre-adoption overall energy consumption</t>
        </is>
      </c>
      <c r="F114" s="41" t="n">
        <v>15287.2</v>
      </c>
    </row>
    <row r="115">
      <c r="A115" s="262" t="n"/>
      <c r="B115" s="5" t="n"/>
    </row>
    <row r="116">
      <c r="A116" s="262" t="n"/>
      <c r="B116" s="5" t="inlineStr">
        <is>
          <t>Elec "long-run marginal" carbon intensity (kg/kWh)</t>
        </is>
      </c>
      <c r="D116" s="262">
        <f>VLOOKUP(D6,'DESNZ elec carbon intensity'!$B$11:$F$54,2,false)</f>
        <v/>
      </c>
      <c r="E116" s="262">
        <f>VLOOKUP(E6,'DESNZ elec carbon intensity'!$B$11:$F$54,2,false)</f>
        <v/>
      </c>
      <c r="F116" s="262">
        <f>VLOOKUP(F6,'DESNZ elec carbon intensity'!$B$11:$F$54,2,false)</f>
        <v/>
      </c>
      <c r="G116" s="262">
        <f>VLOOKUP(G6,'DESNZ elec carbon intensity'!$B$11:$F$54,2,false)</f>
        <v/>
      </c>
      <c r="H116" s="262">
        <f>VLOOKUP(H6,'DESNZ elec carbon intensity'!$B$11:$F$54,2,false)</f>
        <v/>
      </c>
      <c r="I116" s="262">
        <f>VLOOKUP(I6,'DESNZ elec carbon intensity'!$B$11:$F$54,2,false)</f>
        <v/>
      </c>
      <c r="J116" s="262">
        <f>VLOOKUP(J6,'DESNZ elec carbon intensity'!$B$11:$F$54,2,false)</f>
        <v/>
      </c>
      <c r="K116" s="262">
        <f>VLOOKUP(K6,'DESNZ elec carbon intensity'!$B$11:$F$54,2,false)</f>
        <v/>
      </c>
      <c r="L116" s="262">
        <f>VLOOKUP(L6,'DESNZ elec carbon intensity'!$B$11:$F$54,2,false)</f>
        <v/>
      </c>
      <c r="M116" s="262">
        <f>VLOOKUP(M6,'DESNZ elec carbon intensity'!$B$11:$F$54,2,false)</f>
        <v/>
      </c>
      <c r="N116" s="262">
        <f>VLOOKUP(N6,'DESNZ elec carbon intensity'!$B$11:$F$54,2,false)</f>
        <v/>
      </c>
      <c r="O116" s="262">
        <f>VLOOKUP(O6,'DESNZ elec carbon intensity'!$B$11:$F$54,2,false)</f>
        <v/>
      </c>
      <c r="P116" s="262">
        <f>VLOOKUP(P6,'DESNZ elec carbon intensity'!$B$11:$F$54,2,false)</f>
        <v/>
      </c>
      <c r="Q116" s="262">
        <f>VLOOKUP(Q6,'DESNZ elec carbon intensity'!$B$11:$F$54,2,false)</f>
        <v/>
      </c>
      <c r="R116" s="262">
        <f>VLOOKUP(R6,'DESNZ elec carbon intensity'!$B$11:$F$54,2,false)</f>
        <v/>
      </c>
      <c r="S116" s="262">
        <f>VLOOKUP(S6,'DESNZ elec carbon intensity'!$B$11:$F$54,2,false)</f>
        <v/>
      </c>
      <c r="T116" s="262">
        <f>VLOOKUP(T6,'DESNZ elec carbon intensity'!$B$11:$F$54,2,false)</f>
        <v/>
      </c>
      <c r="U116" s="262">
        <f>VLOOKUP(U6,'DESNZ elec carbon intensity'!$B$11:$F$54,2,false)</f>
        <v/>
      </c>
      <c r="V116" s="262">
        <f>VLOOKUP(V6,'DESNZ elec carbon intensity'!$B$11:$F$54,2,false)</f>
        <v/>
      </c>
      <c r="W116" s="262">
        <f>VLOOKUP(W6,'DESNZ elec carbon intensity'!$B$11:$F$54,2,false)</f>
        <v/>
      </c>
      <c r="X116" s="262">
        <f>VLOOKUP(X6,'DESNZ elec carbon intensity'!$B$11:$F$54,2,false)</f>
        <v/>
      </c>
      <c r="Y116" s="262">
        <f>VLOOKUP(Y6,'DESNZ elec carbon intensity'!$B$11:$F$54,2,false)</f>
        <v/>
      </c>
    </row>
    <row r="117">
      <c r="A117" s="262" t="n"/>
      <c r="B117" s="5" t="inlineStr">
        <is>
          <t>Gas carbon intensity (kg/kWh)</t>
        </is>
      </c>
      <c r="C117" s="26">
        <f>'Defra gas and elec carbon inten'!$D$26</f>
        <v/>
      </c>
      <c r="D117" s="44" t="n"/>
      <c r="E117" s="44" t="n"/>
      <c r="F117" s="44" t="n"/>
      <c r="G117" s="44" t="n"/>
      <c r="H117" s="44" t="n"/>
      <c r="I117" s="44" t="n"/>
      <c r="J117" s="44" t="n"/>
      <c r="K117" s="44" t="n"/>
      <c r="L117" s="44" t="n"/>
      <c r="M117" s="44" t="n"/>
      <c r="N117" s="44" t="n"/>
      <c r="O117" s="44" t="n"/>
      <c r="P117" s="44" t="n"/>
      <c r="Q117" s="44" t="n"/>
      <c r="R117" s="44" t="n"/>
      <c r="S117" s="44" t="n"/>
      <c r="T117" s="44" t="n"/>
      <c r="U117" s="44" t="n"/>
      <c r="V117" s="44" t="n"/>
      <c r="W117" s="44" t="n"/>
      <c r="X117" s="44" t="n"/>
      <c r="Y117" s="44" t="n"/>
      <c r="Z117" s="44" t="n"/>
    </row>
    <row r="118">
      <c r="B118" s="5" t="n"/>
      <c r="F118" s="15" t="n"/>
    </row>
    <row r="119">
      <c r="B119" s="5" t="inlineStr">
        <is>
          <t>Elec air quality / pollution costs 2023£/kWh</t>
        </is>
      </c>
      <c r="F119" s="48">
        <f>F122/('GDP deflator'!$I$78/'GDP deflator'!$I$79)</f>
        <v/>
      </c>
      <c r="G119" s="48">
        <f>G122/('GDP deflator'!$I$78/'GDP deflator'!$I$79)</f>
        <v/>
      </c>
      <c r="H119" s="48">
        <f>H122/('GDP deflator'!$I$78/'GDP deflator'!$I$79)</f>
        <v/>
      </c>
      <c r="I119" s="48">
        <f>I122/('GDP deflator'!$I$78/'GDP deflator'!$I$79)</f>
        <v/>
      </c>
      <c r="J119" s="48">
        <f>J122/('GDP deflator'!$I$78/'GDP deflator'!$I$79)</f>
        <v/>
      </c>
      <c r="K119" s="48">
        <f>K122/('GDP deflator'!$I$78/'GDP deflator'!$I$79)</f>
        <v/>
      </c>
      <c r="L119" s="48">
        <f>L122/('GDP deflator'!$I$78/'GDP deflator'!$I$79)</f>
        <v/>
      </c>
      <c r="M119" s="48">
        <f>M122/('GDP deflator'!$I$78/'GDP deflator'!$I$79)</f>
        <v/>
      </c>
      <c r="N119" s="48">
        <f>N122/('GDP deflator'!$I$78/'GDP deflator'!$I$79)</f>
        <v/>
      </c>
      <c r="O119" s="48">
        <f>O122/('GDP deflator'!$I$78/'GDP deflator'!$I$79)</f>
        <v/>
      </c>
      <c r="P119" s="48">
        <f>P122/('GDP deflator'!$I$78/'GDP deflator'!$I$79)</f>
        <v/>
      </c>
      <c r="Q119" s="48">
        <f>Q122/('GDP deflator'!$I$78/'GDP deflator'!$I$79)</f>
        <v/>
      </c>
      <c r="R119" s="48">
        <f>R122/('GDP deflator'!$I$78/'GDP deflator'!$I$79)</f>
        <v/>
      </c>
      <c r="S119" s="48">
        <f>S122/('GDP deflator'!$I$78/'GDP deflator'!$I$79)</f>
        <v/>
      </c>
      <c r="T119" s="48">
        <f>T122/('GDP deflator'!$I$78/'GDP deflator'!$I$79)</f>
        <v/>
      </c>
      <c r="U119" s="48">
        <f>U122/('GDP deflator'!$I$78/'GDP deflator'!$I$79)</f>
        <v/>
      </c>
      <c r="V119" s="48">
        <f>V122/('GDP deflator'!$I$78/'GDP deflator'!$I$79)</f>
        <v/>
      </c>
      <c r="W119" s="48">
        <f>W122/('GDP deflator'!$I$78/'GDP deflator'!$I$79)</f>
        <v/>
      </c>
      <c r="X119" s="48">
        <f>X122/('GDP deflator'!$I$78/'GDP deflator'!$I$79)</f>
        <v/>
      </c>
      <c r="Y119" s="48">
        <f>Y122/('GDP deflator'!$I$78/'GDP deflator'!$I$79)</f>
        <v/>
      </c>
      <c r="Z119" s="48" t="n"/>
    </row>
    <row r="120">
      <c r="B120" s="5" t="inlineStr">
        <is>
          <t>Gas air quality / pollution costs 2023£/kWh</t>
        </is>
      </c>
      <c r="F120" s="48">
        <f>F123/('GDP deflator'!$I$78/'GDP deflator'!$I$79)</f>
        <v/>
      </c>
      <c r="G120" s="48">
        <f>G123/('GDP deflator'!$I$78/'GDP deflator'!$I$79)</f>
        <v/>
      </c>
      <c r="H120" s="48">
        <f>H123/('GDP deflator'!$I$78/'GDP deflator'!$I$79)</f>
        <v/>
      </c>
      <c r="I120" s="48">
        <f>I123/('GDP deflator'!$I$78/'GDP deflator'!$I$79)</f>
        <v/>
      </c>
      <c r="J120" s="48">
        <f>J123/('GDP deflator'!$I$78/'GDP deflator'!$I$79)</f>
        <v/>
      </c>
      <c r="K120" s="48">
        <f>K123/('GDP deflator'!$I$78/'GDP deflator'!$I$79)</f>
        <v/>
      </c>
      <c r="L120" s="48">
        <f>L123/('GDP deflator'!$I$78/'GDP deflator'!$I$79)</f>
        <v/>
      </c>
      <c r="M120" s="48">
        <f>M123/('GDP deflator'!$I$78/'GDP deflator'!$I$79)</f>
        <v/>
      </c>
      <c r="N120" s="48">
        <f>N123/('GDP deflator'!$I$78/'GDP deflator'!$I$79)</f>
        <v/>
      </c>
      <c r="O120" s="48">
        <f>O123/('GDP deflator'!$I$78/'GDP deflator'!$I$79)</f>
        <v/>
      </c>
      <c r="P120" s="48">
        <f>P123/('GDP deflator'!$I$78/'GDP deflator'!$I$79)</f>
        <v/>
      </c>
      <c r="Q120" s="48">
        <f>Q123/('GDP deflator'!$I$78/'GDP deflator'!$I$79)</f>
        <v/>
      </c>
      <c r="R120" s="48">
        <f>R123/('GDP deflator'!$I$78/'GDP deflator'!$I$79)</f>
        <v/>
      </c>
      <c r="S120" s="48">
        <f>S123/('GDP deflator'!$I$78/'GDP deflator'!$I$79)</f>
        <v/>
      </c>
      <c r="T120" s="48">
        <f>T123/('GDP deflator'!$I$78/'GDP deflator'!$I$79)</f>
        <v/>
      </c>
      <c r="U120" s="48">
        <f>U123/('GDP deflator'!$I$78/'GDP deflator'!$I$79)</f>
        <v/>
      </c>
      <c r="V120" s="48">
        <f>V123/('GDP deflator'!$I$78/'GDP deflator'!$I$79)</f>
        <v/>
      </c>
      <c r="W120" s="48">
        <f>W123/('GDP deflator'!$I$78/'GDP deflator'!$I$79)</f>
        <v/>
      </c>
      <c r="X120" s="48">
        <f>X123/('GDP deflator'!$I$78/'GDP deflator'!$I$79)</f>
        <v/>
      </c>
      <c r="Y120" s="48">
        <f>Y123/('GDP deflator'!$I$78/'GDP deflator'!$I$79)</f>
        <v/>
      </c>
      <c r="Z120" s="48" t="n"/>
    </row>
    <row r="121">
      <c r="B121" s="5" t="n"/>
      <c r="F121" s="46" t="n"/>
      <c r="G121" s="46" t="n"/>
      <c r="H121" s="46" t="n"/>
      <c r="I121" s="46" t="n"/>
      <c r="J121" s="46" t="n"/>
      <c r="K121" s="46" t="n"/>
      <c r="L121" s="46" t="n"/>
      <c r="M121" s="46" t="n"/>
      <c r="N121" s="46" t="n"/>
      <c r="O121" s="46" t="n"/>
      <c r="P121" s="46" t="n"/>
      <c r="Q121" s="46" t="n"/>
      <c r="R121" s="46" t="n"/>
      <c r="S121" s="46" t="n"/>
      <c r="T121" s="46" t="n"/>
      <c r="U121" s="46" t="n"/>
      <c r="V121" s="46" t="n"/>
      <c r="W121" s="46" t="n"/>
      <c r="X121" s="46" t="n"/>
      <c r="Y121" s="46" t="n"/>
      <c r="Z121" s="46" t="n"/>
    </row>
    <row r="122">
      <c r="B122" s="5" t="inlineStr">
        <is>
          <t>Elec air quality / pollution costs 2022£/kWh</t>
        </is>
      </c>
      <c r="F122" s="46">
        <f>HLOOKUP(F$90,'Air quality'!$D$11:$CC$15,3,false)/100</f>
        <v/>
      </c>
      <c r="G122" s="46">
        <f>HLOOKUP(G$90,'Air quality'!$D$11:$CC$15,3,false)/100</f>
        <v/>
      </c>
      <c r="H122" s="46">
        <f>HLOOKUP(H$90,'Air quality'!$D$11:$CC$15,3,false)/100</f>
        <v/>
      </c>
      <c r="I122" s="46">
        <f>HLOOKUP(I$90,'Air quality'!$D$11:$CC$15,3,false)/100</f>
        <v/>
      </c>
      <c r="J122" s="46">
        <f>HLOOKUP(J$90,'Air quality'!$D$11:$CC$15,3,false)/100</f>
        <v/>
      </c>
      <c r="K122" s="46">
        <f>HLOOKUP(K$90,'Air quality'!$D$11:$CC$15,3,false)/100</f>
        <v/>
      </c>
      <c r="L122" s="46">
        <f>HLOOKUP(L$90,'Air quality'!$D$11:$CC$15,3,false)/100</f>
        <v/>
      </c>
      <c r="M122" s="46">
        <f>HLOOKUP(M$90,'Air quality'!$D$11:$CC$15,3,false)/100</f>
        <v/>
      </c>
      <c r="N122" s="46">
        <f>HLOOKUP(N$90,'Air quality'!$D$11:$CC$15,3,false)/100</f>
        <v/>
      </c>
      <c r="O122" s="46">
        <f>HLOOKUP(O$90,'Air quality'!$D$11:$CC$15,3,false)/100</f>
        <v/>
      </c>
      <c r="P122" s="46">
        <f>HLOOKUP(P$90,'Air quality'!$D$11:$CC$15,3,false)/100</f>
        <v/>
      </c>
      <c r="Q122" s="46">
        <f>HLOOKUP(Q$90,'Air quality'!$D$11:$CC$15,3,false)/100</f>
        <v/>
      </c>
      <c r="R122" s="46">
        <f>HLOOKUP(R$90,'Air quality'!$D$11:$CC$15,3,false)/100</f>
        <v/>
      </c>
      <c r="S122" s="46">
        <f>HLOOKUP(S$90,'Air quality'!$D$11:$CC$15,3,false)/100</f>
        <v/>
      </c>
      <c r="T122" s="46">
        <f>HLOOKUP(T$90,'Air quality'!$D$11:$CC$15,3,false)/100</f>
        <v/>
      </c>
      <c r="U122" s="46">
        <f>HLOOKUP(U$90,'Air quality'!$D$11:$CC$15,3,false)/100</f>
        <v/>
      </c>
      <c r="V122" s="46">
        <f>HLOOKUP(V$90,'Air quality'!$D$11:$CC$15,3,false)/100</f>
        <v/>
      </c>
      <c r="W122" s="46">
        <f>HLOOKUP(W$90,'Air quality'!$D$11:$CC$15,3,false)/100</f>
        <v/>
      </c>
      <c r="X122" s="46">
        <f>HLOOKUP(X$90,'Air quality'!$D$11:$CC$15,3,false)/100</f>
        <v/>
      </c>
      <c r="Y122" s="46">
        <f>HLOOKUP(Y$90,'Air quality'!$D$11:$CC$15,3,false)/100</f>
        <v/>
      </c>
      <c r="Z122" s="46" t="n"/>
    </row>
    <row r="123">
      <c r="B123" s="5" t="inlineStr">
        <is>
          <t>Gas air quality / pollution costs 2022£/kWh</t>
        </is>
      </c>
      <c r="F123" s="46">
        <f>HLOOKUP(F$90,'Air quality'!$D$11:$CC$15,4,false)/100</f>
        <v/>
      </c>
      <c r="G123" s="46">
        <f>HLOOKUP(G$90,'Air quality'!$D$11:$CC$15,4,false)/100</f>
        <v/>
      </c>
      <c r="H123" s="46">
        <f>HLOOKUP(H$90,'Air quality'!$D$11:$CC$15,4,false)/100</f>
        <v/>
      </c>
      <c r="I123" s="46">
        <f>HLOOKUP(I$90,'Air quality'!$D$11:$CC$15,4,false)/100</f>
        <v/>
      </c>
      <c r="J123" s="46">
        <f>HLOOKUP(J$90,'Air quality'!$D$11:$CC$15,4,false)/100</f>
        <v/>
      </c>
      <c r="K123" s="46">
        <f>HLOOKUP(K$90,'Air quality'!$D$11:$CC$15,4,false)/100</f>
        <v/>
      </c>
      <c r="L123" s="46">
        <f>HLOOKUP(L$90,'Air quality'!$D$11:$CC$15,4,false)/100</f>
        <v/>
      </c>
      <c r="M123" s="46">
        <f>HLOOKUP(M$90,'Air quality'!$D$11:$CC$15,4,false)/100</f>
        <v/>
      </c>
      <c r="N123" s="46">
        <f>HLOOKUP(N$90,'Air quality'!$D$11:$CC$15,4,false)/100</f>
        <v/>
      </c>
      <c r="O123" s="46">
        <f>HLOOKUP(O$90,'Air quality'!$D$11:$CC$15,4,false)/100</f>
        <v/>
      </c>
      <c r="P123" s="46">
        <f>HLOOKUP(P$90,'Air quality'!$D$11:$CC$15,4,false)/100</f>
        <v/>
      </c>
      <c r="Q123" s="46">
        <f>HLOOKUP(Q$90,'Air quality'!$D$11:$CC$15,4,false)/100</f>
        <v/>
      </c>
      <c r="R123" s="46">
        <f>HLOOKUP(R$90,'Air quality'!$D$11:$CC$15,4,false)/100</f>
        <v/>
      </c>
      <c r="S123" s="46">
        <f>HLOOKUP(S$90,'Air quality'!$D$11:$CC$15,4,false)/100</f>
        <v/>
      </c>
      <c r="T123" s="46">
        <f>HLOOKUP(T$90,'Air quality'!$D$11:$CC$15,4,false)/100</f>
        <v/>
      </c>
      <c r="U123" s="46">
        <f>HLOOKUP(U$90,'Air quality'!$D$11:$CC$15,4,false)/100</f>
        <v/>
      </c>
      <c r="V123" s="46">
        <f>HLOOKUP(V$90,'Air quality'!$D$11:$CC$15,4,false)/100</f>
        <v/>
      </c>
      <c r="W123" s="46">
        <f>HLOOKUP(W$90,'Air quality'!$D$11:$CC$15,4,false)/100</f>
        <v/>
      </c>
      <c r="X123" s="46">
        <f>HLOOKUP(X$90,'Air quality'!$D$11:$CC$15,4,false)/100</f>
        <v/>
      </c>
      <c r="Y123" s="46">
        <f>HLOOKUP(Y$90,'Air quality'!$D$11:$CC$15,4,false)/100</f>
        <v/>
      </c>
      <c r="Z123" s="46" t="n"/>
    </row>
    <row r="124">
      <c r="B124" s="5" t="n"/>
      <c r="F124" s="15" t="n"/>
    </row>
    <row r="125">
      <c r="B125" s="5" t="inlineStr">
        <is>
          <t>Private cost HP</t>
        </is>
      </c>
      <c r="F125" s="15">
        <f>average('MCS cost data'!C50:C57)-F126</f>
        <v/>
      </c>
    </row>
    <row r="126">
      <c r="B126" s="5" t="inlineStr">
        <is>
          <t>Subsidy HP (BUS £ per ASHP)</t>
        </is>
      </c>
      <c r="F126" s="15" t="n">
        <v>7500</v>
      </c>
    </row>
    <row r="127">
      <c r="B127" s="5" t="inlineStr">
        <is>
          <t>Private cost gas boiler</t>
        </is>
      </c>
      <c r="F127" s="15" t="n">
        <v>2250</v>
      </c>
    </row>
    <row r="128">
      <c r="B128" s="5" t="inlineStr">
        <is>
          <t>Implied ex-VAT cost of gas boiler</t>
        </is>
      </c>
      <c r="F128" s="15">
        <f>F127/1.2</f>
        <v/>
      </c>
    </row>
    <row r="129">
      <c r="B129" s="5" t="n"/>
      <c r="F129" s="15" t="n"/>
    </row>
    <row r="130">
      <c r="B130" s="5" t="inlineStr">
        <is>
          <t>Average elec unit rate (Octo)</t>
        </is>
      </c>
      <c r="F130" s="48" t="n">
        <v>0.24499</v>
      </c>
      <c r="G130" s="47">
        <f>F130</f>
        <v/>
      </c>
      <c r="H130" s="47">
        <f>G130</f>
        <v/>
      </c>
      <c r="I130" s="47">
        <f>H130</f>
        <v/>
      </c>
      <c r="J130" s="47">
        <f>I130</f>
        <v/>
      </c>
      <c r="K130" s="47">
        <f>J130</f>
        <v/>
      </c>
      <c r="L130" s="47">
        <f>K130</f>
        <v/>
      </c>
      <c r="M130" s="47">
        <f>L130</f>
        <v/>
      </c>
      <c r="N130" s="47">
        <f>M130</f>
        <v/>
      </c>
      <c r="O130" s="47">
        <f>N130</f>
        <v/>
      </c>
      <c r="P130" s="47">
        <f>O130</f>
        <v/>
      </c>
      <c r="Q130" s="47">
        <f>P130</f>
        <v/>
      </c>
      <c r="R130" s="47">
        <f>Q130</f>
        <v/>
      </c>
      <c r="S130" s="47">
        <f>R130</f>
        <v/>
      </c>
      <c r="T130" s="47">
        <f>S130</f>
        <v/>
      </c>
      <c r="U130" s="47">
        <f>T130</f>
        <v/>
      </c>
      <c r="V130" s="47">
        <f>U130</f>
        <v/>
      </c>
      <c r="W130" s="47">
        <f>V130</f>
        <v/>
      </c>
      <c r="X130" s="47">
        <f>W130</f>
        <v/>
      </c>
      <c r="Y130" s="47">
        <f>X130</f>
        <v/>
      </c>
      <c r="Z130" s="44" t="n"/>
    </row>
    <row r="131">
      <c r="B131" s="5" t="inlineStr">
        <is>
          <t>Average elec standing charge (Octo)</t>
        </is>
      </c>
      <c r="F131" s="48" t="n">
        <v>0.5803</v>
      </c>
      <c r="G131" s="47">
        <f>F131</f>
        <v/>
      </c>
      <c r="H131" s="47">
        <f>G131</f>
        <v/>
      </c>
      <c r="I131" s="47">
        <f>H131</f>
        <v/>
      </c>
      <c r="J131" s="47">
        <f>I131</f>
        <v/>
      </c>
      <c r="K131" s="47">
        <f>J131</f>
        <v/>
      </c>
      <c r="L131" s="47">
        <f>K131</f>
        <v/>
      </c>
      <c r="M131" s="47">
        <f>L131</f>
        <v/>
      </c>
      <c r="N131" s="47">
        <f>M131</f>
        <v/>
      </c>
      <c r="O131" s="47">
        <f>N131</f>
        <v/>
      </c>
      <c r="P131" s="47">
        <f>O131</f>
        <v/>
      </c>
      <c r="Q131" s="47">
        <f>P131</f>
        <v/>
      </c>
      <c r="R131" s="47">
        <f>Q131</f>
        <v/>
      </c>
      <c r="S131" s="47">
        <f>R131</f>
        <v/>
      </c>
      <c r="T131" s="47">
        <f>S131</f>
        <v/>
      </c>
      <c r="U131" s="47">
        <f>T131</f>
        <v/>
      </c>
      <c r="V131" s="47">
        <f>U131</f>
        <v/>
      </c>
      <c r="W131" s="47">
        <f>V131</f>
        <v/>
      </c>
      <c r="X131" s="47">
        <f>W131</f>
        <v/>
      </c>
      <c r="Y131" s="47">
        <f>X131</f>
        <v/>
      </c>
      <c r="Z131" s="44" t="n"/>
    </row>
    <row r="132">
      <c r="B132" s="5" t="inlineStr">
        <is>
          <t>Average gas unit rate (Octo)</t>
        </is>
      </c>
      <c r="F132" s="48" t="n">
        <v>0.06041</v>
      </c>
      <c r="G132" s="47">
        <f>F132</f>
        <v/>
      </c>
      <c r="H132" s="47">
        <f>G132</f>
        <v/>
      </c>
      <c r="I132" s="47">
        <f>H132</f>
        <v/>
      </c>
      <c r="J132" s="47">
        <f>I132</f>
        <v/>
      </c>
      <c r="K132" s="47">
        <f>J132</f>
        <v/>
      </c>
      <c r="L132" s="47">
        <f>K132</f>
        <v/>
      </c>
      <c r="M132" s="47">
        <f>L132</f>
        <v/>
      </c>
      <c r="N132" s="47">
        <f>M132</f>
        <v/>
      </c>
      <c r="O132" s="47">
        <f>N132</f>
        <v/>
      </c>
      <c r="P132" s="47">
        <f>O132</f>
        <v/>
      </c>
      <c r="Q132" s="47">
        <f>P132</f>
        <v/>
      </c>
      <c r="R132" s="47">
        <f>Q132</f>
        <v/>
      </c>
      <c r="S132" s="47">
        <f>R132</f>
        <v/>
      </c>
      <c r="T132" s="47">
        <f>S132</f>
        <v/>
      </c>
      <c r="U132" s="47">
        <f>T132</f>
        <v/>
      </c>
      <c r="V132" s="47">
        <f>U132</f>
        <v/>
      </c>
      <c r="W132" s="47">
        <f>V132</f>
        <v/>
      </c>
      <c r="X132" s="47">
        <f>W132</f>
        <v/>
      </c>
      <c r="Y132" s="47">
        <f>X132</f>
        <v/>
      </c>
      <c r="Z132" s="44" t="n"/>
    </row>
    <row r="133">
      <c r="B133" s="5" t="inlineStr">
        <is>
          <t>Average gas standing charge (Octo)</t>
        </is>
      </c>
      <c r="F133" s="48" t="n">
        <v>0.2936</v>
      </c>
      <c r="G133" s="47">
        <f>F133</f>
        <v/>
      </c>
      <c r="H133" s="47">
        <f>G133</f>
        <v/>
      </c>
      <c r="I133" s="47">
        <f>H133</f>
        <v/>
      </c>
      <c r="J133" s="47">
        <f>I133</f>
        <v/>
      </c>
      <c r="K133" s="47">
        <f>J133</f>
        <v/>
      </c>
      <c r="L133" s="47">
        <f>K133</f>
        <v/>
      </c>
      <c r="M133" s="47">
        <f>L133</f>
        <v/>
      </c>
      <c r="N133" s="47">
        <f>M133</f>
        <v/>
      </c>
      <c r="O133" s="47">
        <f>N133</f>
        <v/>
      </c>
      <c r="P133" s="47">
        <f>O133</f>
        <v/>
      </c>
      <c r="Q133" s="47">
        <f>P133</f>
        <v/>
      </c>
      <c r="R133" s="47">
        <f>Q133</f>
        <v/>
      </c>
      <c r="S133" s="47">
        <f>R133</f>
        <v/>
      </c>
      <c r="T133" s="47">
        <f>S133</f>
        <v/>
      </c>
      <c r="U133" s="47">
        <f>T133</f>
        <v/>
      </c>
      <c r="V133" s="47">
        <f>U133</f>
        <v/>
      </c>
      <c r="W133" s="47">
        <f>V133</f>
        <v/>
      </c>
      <c r="X133" s="47">
        <f>W133</f>
        <v/>
      </c>
      <c r="Y133" s="47">
        <f>X133</f>
        <v/>
      </c>
      <c r="Z133" s="44" t="n"/>
    </row>
    <row r="134">
      <c r="B134" s="5" t="inlineStr">
        <is>
          <t>Elec unit rate (HMG forecast) (£2023)</t>
        </is>
      </c>
      <c r="F134" s="48">
        <f>F136/('GDP deflator'!$I$78/'GDP deflator'!$I$79)</f>
        <v/>
      </c>
      <c r="G134" s="48">
        <f>G136/('GDP deflator'!$I$78/'GDP deflator'!$I$79)</f>
        <v/>
      </c>
      <c r="H134" s="48">
        <f>H136/('GDP deflator'!$I$78/'GDP deflator'!$I$79)</f>
        <v/>
      </c>
      <c r="I134" s="48">
        <f>I136/('GDP deflator'!$I$78/'GDP deflator'!$I$79)</f>
        <v/>
      </c>
      <c r="J134" s="48">
        <f>J136/('GDP deflator'!$I$78/'GDP deflator'!$I$79)</f>
        <v/>
      </c>
      <c r="K134" s="48">
        <f>K136/('GDP deflator'!$I$78/'GDP deflator'!$I$79)</f>
        <v/>
      </c>
      <c r="L134" s="48">
        <f>L136/('GDP deflator'!$I$78/'GDP deflator'!$I$79)</f>
        <v/>
      </c>
      <c r="M134" s="48">
        <f>M136/('GDP deflator'!$I$78/'GDP deflator'!$I$79)</f>
        <v/>
      </c>
      <c r="N134" s="48">
        <f>N136/('GDP deflator'!$I$78/'GDP deflator'!$I$79)</f>
        <v/>
      </c>
      <c r="O134" s="48">
        <f>O136/('GDP deflator'!$I$78/'GDP deflator'!$I$79)</f>
        <v/>
      </c>
      <c r="P134" s="48">
        <f>P136/('GDP deflator'!$I$78/'GDP deflator'!$I$79)</f>
        <v/>
      </c>
      <c r="Q134" s="48">
        <f>Q136/('GDP deflator'!$I$78/'GDP deflator'!$I$79)</f>
        <v/>
      </c>
      <c r="R134" s="48">
        <f>R136/('GDP deflator'!$I$78/'GDP deflator'!$I$79)</f>
        <v/>
      </c>
      <c r="S134" s="48">
        <f>S136/('GDP deflator'!$I$78/'GDP deflator'!$I$79)</f>
        <v/>
      </c>
      <c r="T134" s="48">
        <f>T136/('GDP deflator'!$I$78/'GDP deflator'!$I$79)</f>
        <v/>
      </c>
      <c r="U134" s="48">
        <f>U136/('GDP deflator'!$I$78/'GDP deflator'!$I$79)</f>
        <v/>
      </c>
      <c r="V134" s="48">
        <f>V136/('GDP deflator'!$I$78/'GDP deflator'!$I$79)</f>
        <v/>
      </c>
      <c r="W134" s="48">
        <f>W136/('GDP deflator'!$I$78/'GDP deflator'!$I$79)</f>
        <v/>
      </c>
      <c r="X134" s="48">
        <f>X136/('GDP deflator'!$I$78/'GDP deflator'!$I$79)</f>
        <v/>
      </c>
      <c r="Y134" s="48">
        <f>Y136/('GDP deflator'!$I$78/'GDP deflator'!$I$79)</f>
        <v/>
      </c>
      <c r="Z134" s="48" t="n"/>
    </row>
    <row r="135">
      <c r="B135" s="5" t="inlineStr">
        <is>
          <t>Gas unit rate (HMG forecast) (£2023)</t>
        </is>
      </c>
      <c r="F135" s="48">
        <f>F137/('GDP deflator'!$I$78/'GDP deflator'!$I$79)</f>
        <v/>
      </c>
      <c r="G135" s="48">
        <f>G137/('GDP deflator'!$I$78/'GDP deflator'!$I$79)</f>
        <v/>
      </c>
      <c r="H135" s="48">
        <f>H137/('GDP deflator'!$I$78/'GDP deflator'!$I$79)</f>
        <v/>
      </c>
      <c r="I135" s="48">
        <f>I137/('GDP deflator'!$I$78/'GDP deflator'!$I$79)</f>
        <v/>
      </c>
      <c r="J135" s="48">
        <f>J137/('GDP deflator'!$I$78/'GDP deflator'!$I$79)</f>
        <v/>
      </c>
      <c r="K135" s="48">
        <f>K137/('GDP deflator'!$I$78/'GDP deflator'!$I$79)</f>
        <v/>
      </c>
      <c r="L135" s="48">
        <f>L137/('GDP deflator'!$I$78/'GDP deflator'!$I$79)</f>
        <v/>
      </c>
      <c r="M135" s="48">
        <f>M137/('GDP deflator'!$I$78/'GDP deflator'!$I$79)</f>
        <v/>
      </c>
      <c r="N135" s="48">
        <f>N137/('GDP deflator'!$I$78/'GDP deflator'!$I$79)</f>
        <v/>
      </c>
      <c r="O135" s="48">
        <f>O137/('GDP deflator'!$I$78/'GDP deflator'!$I$79)</f>
        <v/>
      </c>
      <c r="P135" s="48">
        <f>P137/('GDP deflator'!$I$78/'GDP deflator'!$I$79)</f>
        <v/>
      </c>
      <c r="Q135" s="48">
        <f>Q137/('GDP deflator'!$I$78/'GDP deflator'!$I$79)</f>
        <v/>
      </c>
      <c r="R135" s="48">
        <f>R137/('GDP deflator'!$I$78/'GDP deflator'!$I$79)</f>
        <v/>
      </c>
      <c r="S135" s="48">
        <f>S137/('GDP deflator'!$I$78/'GDP deflator'!$I$79)</f>
        <v/>
      </c>
      <c r="T135" s="48">
        <f>T137/('GDP deflator'!$I$78/'GDP deflator'!$I$79)</f>
        <v/>
      </c>
      <c r="U135" s="48">
        <f>U137/('GDP deflator'!$I$78/'GDP deflator'!$I$79)</f>
        <v/>
      </c>
      <c r="V135" s="48">
        <f>V137/('GDP deflator'!$I$78/'GDP deflator'!$I$79)</f>
        <v/>
      </c>
      <c r="W135" s="48">
        <f>W137/('GDP deflator'!$I$78/'GDP deflator'!$I$79)</f>
        <v/>
      </c>
      <c r="X135" s="48">
        <f>X137/('GDP deflator'!$I$78/'GDP deflator'!$I$79)</f>
        <v/>
      </c>
      <c r="Y135" s="48">
        <f>Y137/('GDP deflator'!$I$78/'GDP deflator'!$I$79)</f>
        <v/>
      </c>
      <c r="Z135" s="48" t="n"/>
    </row>
    <row r="136">
      <c r="B136" s="5" t="inlineStr">
        <is>
          <t>Elec unit rate (HMG forecast) (£2022)</t>
        </is>
      </c>
      <c r="F136" s="48">
        <f>VLOOKUP(F$107,'Retail energy prices forecast'!$B$9:$K$100,5,false)/100</f>
        <v/>
      </c>
      <c r="G136" s="48">
        <f>VLOOKUP(G$107,'Retail energy prices forecast'!$B$9:$K$100,5,false)/100</f>
        <v/>
      </c>
      <c r="H136" s="48">
        <f>VLOOKUP(H$107,'Retail energy prices forecast'!$B$9:$K$100,5,false)/100</f>
        <v/>
      </c>
      <c r="I136" s="48">
        <f>VLOOKUP(I$107,'Retail energy prices forecast'!$B$9:$K$100,5,false)/100</f>
        <v/>
      </c>
      <c r="J136" s="48">
        <f>VLOOKUP(J$107,'Retail energy prices forecast'!$B$9:$K$100,5,false)/100</f>
        <v/>
      </c>
      <c r="K136" s="48">
        <f>VLOOKUP(K$107,'Retail energy prices forecast'!$B$9:$K$100,5,false)/100</f>
        <v/>
      </c>
      <c r="L136" s="48">
        <f>VLOOKUP(L$107,'Retail energy prices forecast'!$B$9:$K$100,5,false)/100</f>
        <v/>
      </c>
      <c r="M136" s="48">
        <f>VLOOKUP(M$107,'Retail energy prices forecast'!$B$9:$K$100,5,false)/100</f>
        <v/>
      </c>
      <c r="N136" s="48">
        <f>VLOOKUP(N$107,'Retail energy prices forecast'!$B$9:$K$100,5,false)/100</f>
        <v/>
      </c>
      <c r="O136" s="48">
        <f>VLOOKUP(O$107,'Retail energy prices forecast'!$B$9:$K$100,5,false)/100</f>
        <v/>
      </c>
      <c r="P136" s="48">
        <f>VLOOKUP(P$107,'Retail energy prices forecast'!$B$9:$K$100,5,false)/100</f>
        <v/>
      </c>
      <c r="Q136" s="48">
        <f>VLOOKUP(Q$107,'Retail energy prices forecast'!$B$9:$K$100,5,false)/100</f>
        <v/>
      </c>
      <c r="R136" s="48">
        <f>VLOOKUP(R$107,'Retail energy prices forecast'!$B$9:$K$100,5,false)/100</f>
        <v/>
      </c>
      <c r="S136" s="48">
        <f>VLOOKUP(S$107,'Retail energy prices forecast'!$B$9:$K$100,5,false)/100</f>
        <v/>
      </c>
      <c r="T136" s="48">
        <f>VLOOKUP(T$107,'Retail energy prices forecast'!$B$9:$K$100,5,false)/100</f>
        <v/>
      </c>
      <c r="U136" s="48">
        <f>VLOOKUP(U$107,'Retail energy prices forecast'!$B$9:$K$100,5,false)/100</f>
        <v/>
      </c>
      <c r="V136" s="48">
        <f>VLOOKUP(V$107,'Retail energy prices forecast'!$B$9:$K$100,5,false)/100</f>
        <v/>
      </c>
      <c r="W136" s="48">
        <f>VLOOKUP(W$107,'Retail energy prices forecast'!$B$9:$K$100,5,false)/100</f>
        <v/>
      </c>
      <c r="X136" s="48">
        <f>VLOOKUP(X$107,'Retail energy prices forecast'!$B$9:$K$100,5,false)/100</f>
        <v/>
      </c>
      <c r="Y136" s="48">
        <f>VLOOKUP(Y$107,'Retail energy prices forecast'!$B$9:$K$100,5,false)/100</f>
        <v/>
      </c>
      <c r="Z136" s="48" t="n"/>
    </row>
    <row r="137">
      <c r="B137" s="5" t="inlineStr">
        <is>
          <t>Gas unit rate (HMG forecast) (£2022)</t>
        </is>
      </c>
      <c r="F137" s="48">
        <f>VLOOKUP(F$107,'Retail energy prices forecast'!$B$10:$U$100,15,false)/100</f>
        <v/>
      </c>
      <c r="G137" s="48">
        <f>VLOOKUP(G$107,'Retail energy prices forecast'!$B$10:$U$100,15,false)/100</f>
        <v/>
      </c>
      <c r="H137" s="48">
        <f>VLOOKUP(H$107,'Retail energy prices forecast'!$B$10:$U$100,15,false)/100</f>
        <v/>
      </c>
      <c r="I137" s="48">
        <f>VLOOKUP(I$107,'Retail energy prices forecast'!$B$10:$U$100,15,false)/100</f>
        <v/>
      </c>
      <c r="J137" s="48">
        <f>VLOOKUP(J$107,'Retail energy prices forecast'!$B$10:$U$100,15,false)/100</f>
        <v/>
      </c>
      <c r="K137" s="48">
        <f>VLOOKUP(K$107,'Retail energy prices forecast'!$B$10:$U$100,15,false)/100</f>
        <v/>
      </c>
      <c r="L137" s="48">
        <f>VLOOKUP(L$107,'Retail energy prices forecast'!$B$10:$U$100,15,false)/100</f>
        <v/>
      </c>
      <c r="M137" s="48">
        <f>VLOOKUP(M$107,'Retail energy prices forecast'!$B$10:$U$100,15,false)/100</f>
        <v/>
      </c>
      <c r="N137" s="48">
        <f>VLOOKUP(N$107,'Retail energy prices forecast'!$B$10:$U$100,15,false)/100</f>
        <v/>
      </c>
      <c r="O137" s="48">
        <f>VLOOKUP(O$107,'Retail energy prices forecast'!$B$10:$U$100,15,false)/100</f>
        <v/>
      </c>
      <c r="P137" s="48">
        <f>VLOOKUP(P$107,'Retail energy prices forecast'!$B$10:$U$100,15,false)/100</f>
        <v/>
      </c>
      <c r="Q137" s="48">
        <f>VLOOKUP(Q$107,'Retail energy prices forecast'!$B$10:$U$100,15,false)/100</f>
        <v/>
      </c>
      <c r="R137" s="48">
        <f>VLOOKUP(R$107,'Retail energy prices forecast'!$B$10:$U$100,15,false)/100</f>
        <v/>
      </c>
      <c r="S137" s="48">
        <f>VLOOKUP(S$107,'Retail energy prices forecast'!$B$10:$U$100,15,false)/100</f>
        <v/>
      </c>
      <c r="T137" s="48">
        <f>VLOOKUP(T$107,'Retail energy prices forecast'!$B$10:$U$100,15,false)/100</f>
        <v/>
      </c>
      <c r="U137" s="48">
        <f>VLOOKUP(U$107,'Retail energy prices forecast'!$B$10:$U$100,15,false)/100</f>
        <v/>
      </c>
      <c r="V137" s="48">
        <f>VLOOKUP(V$107,'Retail energy prices forecast'!$B$10:$U$100,15,false)/100</f>
        <v/>
      </c>
      <c r="W137" s="48">
        <f>VLOOKUP(W$107,'Retail energy prices forecast'!$B$10:$U$100,15,false)/100</f>
        <v/>
      </c>
      <c r="X137" s="48">
        <f>VLOOKUP(X$107,'Retail energy prices forecast'!$B$10:$U$100,15,false)/100</f>
        <v/>
      </c>
      <c r="Y137" s="48">
        <f>VLOOKUP(Y$107,'Retail energy prices forecast'!$B$10:$U$100,15,false)/100</f>
        <v/>
      </c>
      <c r="Z137" s="48" t="n"/>
    </row>
    <row r="138">
      <c r="B138" s="5" t="n"/>
    </row>
    <row r="139">
      <c r="B139" s="5" t="n"/>
      <c r="F139" s="48">
        <f>F131*365</f>
        <v/>
      </c>
    </row>
    <row r="140">
      <c r="B140" s="5" t="n"/>
    </row>
    <row r="141">
      <c r="A141" s="40" t="inlineStr">
        <is>
          <t>Cosy</t>
        </is>
      </c>
      <c r="B141" s="5" t="n"/>
      <c r="C141" s="24" t="inlineStr">
        <is>
          <t>Constants</t>
        </is>
      </c>
      <c r="D141" s="24" t="n">
        <v>2022</v>
      </c>
      <c r="E141" s="24" t="n">
        <v>2023</v>
      </c>
      <c r="F141" s="24" t="n">
        <v>2024</v>
      </c>
      <c r="G141" s="24" t="n">
        <v>2025</v>
      </c>
      <c r="H141" s="24" t="n">
        <v>2026</v>
      </c>
      <c r="I141" s="24" t="n">
        <v>2027</v>
      </c>
      <c r="J141" s="24" t="n">
        <v>2028</v>
      </c>
      <c r="K141" s="24" t="n">
        <v>2029</v>
      </c>
      <c r="L141" s="24" t="n">
        <v>2030</v>
      </c>
      <c r="M141" s="24" t="n">
        <v>2031</v>
      </c>
      <c r="N141" s="24" t="n">
        <v>2032</v>
      </c>
      <c r="O141" s="24" t="n">
        <v>2033</v>
      </c>
      <c r="P141" s="24" t="n">
        <v>2034</v>
      </c>
      <c r="Q141" s="24" t="n">
        <v>2035</v>
      </c>
      <c r="R141" s="24" t="n">
        <v>2036</v>
      </c>
      <c r="S141" s="24" t="n">
        <v>2037</v>
      </c>
      <c r="T141" s="24" t="n">
        <v>2038</v>
      </c>
      <c r="U141" s="24" t="n">
        <v>2039</v>
      </c>
      <c r="V141" s="24" t="n">
        <v>2040</v>
      </c>
      <c r="W141" s="24" t="n">
        <v>2041</v>
      </c>
      <c r="X141" s="24" t="n">
        <v>2042</v>
      </c>
      <c r="Y141" s="24" t="n">
        <v>2043</v>
      </c>
      <c r="Z141" s="24" t="n"/>
    </row>
    <row r="142">
      <c r="B142" s="5" t="inlineStr">
        <is>
          <t>Peak period pre-Cosy consumption per half-hour</t>
        </is>
      </c>
      <c r="F142" s="49" t="n">
        <v>0.4404</v>
      </c>
      <c r="G142" s="9" t="n"/>
    </row>
    <row r="143">
      <c r="B143" s="5" t="inlineStr">
        <is>
          <t>Other period pre-Cosy consumption per half-hour</t>
        </is>
      </c>
      <c r="F143" s="49" t="n">
        <v>0.3843</v>
      </c>
      <c r="G143" s="9" t="n"/>
    </row>
    <row r="144">
      <c r="B144" s="5" t="inlineStr">
        <is>
          <t>Cosy morning pre-Cosy consumption per half-hour</t>
        </is>
      </c>
      <c r="F144" s="49" t="n">
        <v>0.3659</v>
      </c>
      <c r="G144" s="9" t="n"/>
    </row>
    <row r="145">
      <c r="B145" s="5" t="inlineStr">
        <is>
          <t>Cosy afternoon pre-Cosy consumption per half-hour</t>
        </is>
      </c>
      <c r="F145" s="49" t="n">
        <v>0.3199</v>
      </c>
      <c r="G145" s="9" t="n"/>
    </row>
    <row r="146">
      <c r="B146" s="5" t="n"/>
      <c r="F146" s="50" t="n"/>
      <c r="G146" s="9" t="n"/>
    </row>
    <row r="147">
      <c r="B147" s="5" t="inlineStr">
        <is>
          <t>Peak period reduction per half-hour</t>
        </is>
      </c>
      <c r="F147" s="49" t="n">
        <v>-0.2242</v>
      </c>
      <c r="G147" s="9" t="n"/>
      <c r="H147" s="262">
        <f>2*(F147+F142)</f>
        <v/>
      </c>
      <c r="J147" s="262">
        <f>F147*6</f>
        <v/>
      </c>
    </row>
    <row r="148">
      <c r="B148" s="5" t="inlineStr">
        <is>
          <t>Other period reduction per half-hour</t>
        </is>
      </c>
      <c r="F148" s="49" t="n">
        <v>-0.1066</v>
      </c>
      <c r="G148" s="9" t="n"/>
      <c r="H148" s="262">
        <f>2*(F148+F143)</f>
        <v/>
      </c>
      <c r="J148" s="262">
        <f>F148*30</f>
        <v/>
      </c>
    </row>
    <row r="149">
      <c r="B149" s="5" t="inlineStr">
        <is>
          <t>Cosy morning increase per half-hour</t>
        </is>
      </c>
      <c r="F149" s="49" t="n">
        <v>0.5071</v>
      </c>
      <c r="G149" s="9" t="n"/>
      <c r="H149" s="262">
        <f>2*(F149+F144)</f>
        <v/>
      </c>
      <c r="J149" s="262">
        <f>F149*6</f>
        <v/>
      </c>
    </row>
    <row r="150">
      <c r="B150" s="5" t="inlineStr">
        <is>
          <t>Cosy afternoon increase per half-hour</t>
        </is>
      </c>
      <c r="F150" s="49" t="n">
        <v>0.2926</v>
      </c>
      <c r="G150" s="9" t="n"/>
      <c r="H150" s="262">
        <f>2*(F150+F145)</f>
        <v/>
      </c>
      <c r="J150" s="262">
        <f>F150*6</f>
        <v/>
      </c>
    </row>
    <row r="151">
      <c r="B151" s="5" t="n"/>
      <c r="F151" s="262" t="n"/>
    </row>
    <row r="152">
      <c r="B152" s="5" t="inlineStr">
        <is>
          <t>Peak period carbon intensity (kg/kWh) - average of WattTime marginal intensities for all half-hours in relevant year</t>
        </is>
      </c>
      <c r="D152" s="51" t="inlineStr">
        <is>
          <t>Updated to WattTime marginal emissions values for the UK</t>
        </is>
      </c>
      <c r="F152" s="262">
        <f>'WattTime marginal carbon intens'!F4/1000</f>
        <v/>
      </c>
      <c r="G152" s="52">
        <f>$F152 * G$116/$F$116</f>
        <v/>
      </c>
      <c r="H152" s="52">
        <f>$F152 * H$116/$F$116</f>
        <v/>
      </c>
      <c r="I152" s="52">
        <f>$F152 * I$116/$F$116</f>
        <v/>
      </c>
      <c r="J152" s="52">
        <f>$F152 * J$116/$F$116</f>
        <v/>
      </c>
      <c r="K152" s="52">
        <f>$F152 * K$116/$F$116</f>
        <v/>
      </c>
      <c r="L152" s="52">
        <f>$F152 * L$116/$F$116</f>
        <v/>
      </c>
      <c r="M152" s="52">
        <f>$F152 * M$116/$F$116</f>
        <v/>
      </c>
      <c r="N152" s="52">
        <f>$F152 * N$116/$F$116</f>
        <v/>
      </c>
      <c r="O152" s="52">
        <f>$F152 * O$116/$F$116</f>
        <v/>
      </c>
      <c r="P152" s="52">
        <f>$F152 * P$116/$F$116</f>
        <v/>
      </c>
      <c r="Q152" s="52">
        <f>$F152 * Q$116/$F$116</f>
        <v/>
      </c>
      <c r="R152" s="52">
        <f>$F152 * R$116/$F$116</f>
        <v/>
      </c>
      <c r="S152" s="52">
        <f>$F152 * S$116/$F$116</f>
        <v/>
      </c>
      <c r="T152" s="52">
        <f>$F152 * T$116/$F$116</f>
        <v/>
      </c>
      <c r="U152" s="52">
        <f>$F152 * U$116/$F$116</f>
        <v/>
      </c>
      <c r="V152" s="52">
        <f>$F152 * V$116/$F$116</f>
        <v/>
      </c>
      <c r="W152" s="52">
        <f>$F152 * W$116/$F$116</f>
        <v/>
      </c>
      <c r="X152" s="52">
        <f>$F152 * X$116/$F$116</f>
        <v/>
      </c>
      <c r="Y152" s="52">
        <f>$F152 * Y$116/$F$116</f>
        <v/>
      </c>
      <c r="Z152" s="52" t="n"/>
    </row>
    <row r="153">
      <c r="B153" s="5" t="inlineStr">
        <is>
          <t>Other period carbon intensity (kg/kWh) - average of WattTime marginal intensities for all half-hours in relevant year</t>
        </is>
      </c>
      <c r="F153" s="262">
        <f>'WattTime marginal carbon intens'!F5/1000</f>
        <v/>
      </c>
      <c r="G153" s="52">
        <f>$F153 * G$116/$F$116</f>
        <v/>
      </c>
      <c r="H153" s="52">
        <f>$F153 * H$116/$F$116</f>
        <v/>
      </c>
      <c r="I153" s="52">
        <f>$F153 * I$116/$F$116</f>
        <v/>
      </c>
      <c r="J153" s="52">
        <f>$F153 * J$116/$F$116</f>
        <v/>
      </c>
      <c r="K153" s="52">
        <f>$F153 * K$116/$F$116</f>
        <v/>
      </c>
      <c r="L153" s="52">
        <f>$F153 * L$116/$F$116</f>
        <v/>
      </c>
      <c r="M153" s="52">
        <f>$F153 * M$116/$F$116</f>
        <v/>
      </c>
      <c r="N153" s="52">
        <f>$F153 * N$116/$F$116</f>
        <v/>
      </c>
      <c r="O153" s="52">
        <f>$F153 * O$116/$F$116</f>
        <v/>
      </c>
      <c r="P153" s="52">
        <f>$F153 * P$116/$F$116</f>
        <v/>
      </c>
      <c r="Q153" s="52">
        <f>$F153 * Q$116/$F$116</f>
        <v/>
      </c>
      <c r="R153" s="52">
        <f>$F153 * R$116/$F$116</f>
        <v/>
      </c>
      <c r="S153" s="52">
        <f>$F153 * S$116/$F$116</f>
        <v/>
      </c>
      <c r="T153" s="52">
        <f>$F153 * T$116/$F$116</f>
        <v/>
      </c>
      <c r="U153" s="52">
        <f>$F153 * U$116/$F$116</f>
        <v/>
      </c>
      <c r="V153" s="52">
        <f>$F153 * V$116/$F$116</f>
        <v/>
      </c>
      <c r="W153" s="52">
        <f>$F153 * W$116/$F$116</f>
        <v/>
      </c>
      <c r="X153" s="52">
        <f>$F153 * X$116/$F$116</f>
        <v/>
      </c>
      <c r="Y153" s="52">
        <f>$F153 * Y$116/$F$116</f>
        <v/>
      </c>
      <c r="Z153" s="52" t="n"/>
    </row>
    <row r="154">
      <c r="B154" s="5" t="inlineStr">
        <is>
          <t>Cosy morning carbon intensity (kg/kWh) - average of WattTime marginal intensities for all half-hours in relevant year</t>
        </is>
      </c>
      <c r="F154" s="262">
        <f>'WattTime marginal carbon intens'!F6/1000</f>
        <v/>
      </c>
      <c r="G154" s="52">
        <f>$F154 * G$116/$F$116</f>
        <v/>
      </c>
      <c r="H154" s="52">
        <f>$F154 * H$116/$F$116</f>
        <v/>
      </c>
      <c r="I154" s="52">
        <f>$F154 * I$116/$F$116</f>
        <v/>
      </c>
      <c r="J154" s="52">
        <f>$F154 * J$116/$F$116</f>
        <v/>
      </c>
      <c r="K154" s="52">
        <f>$F154 * K$116/$F$116</f>
        <v/>
      </c>
      <c r="L154" s="52">
        <f>$F154 * L$116/$F$116</f>
        <v/>
      </c>
      <c r="M154" s="52">
        <f>$F154 * M$116/$F$116</f>
        <v/>
      </c>
      <c r="N154" s="52">
        <f>$F154 * N$116/$F$116</f>
        <v/>
      </c>
      <c r="O154" s="52">
        <f>$F154 * O$116/$F$116</f>
        <v/>
      </c>
      <c r="P154" s="52">
        <f>$F154 * P$116/$F$116</f>
        <v/>
      </c>
      <c r="Q154" s="52">
        <f>$F154 * Q$116/$F$116</f>
        <v/>
      </c>
      <c r="R154" s="52">
        <f>$F154 * R$116/$F$116</f>
        <v/>
      </c>
      <c r="S154" s="52">
        <f>$F154 * S$116/$F$116</f>
        <v/>
      </c>
      <c r="T154" s="52">
        <f>$F154 * T$116/$F$116</f>
        <v/>
      </c>
      <c r="U154" s="52">
        <f>$F154 * U$116/$F$116</f>
        <v/>
      </c>
      <c r="V154" s="52">
        <f>$F154 * V$116/$F$116</f>
        <v/>
      </c>
      <c r="W154" s="52">
        <f>$F154 * W$116/$F$116</f>
        <v/>
      </c>
      <c r="X154" s="52">
        <f>$F154 * X$116/$F$116</f>
        <v/>
      </c>
      <c r="Y154" s="52">
        <f>$F154 * Y$116/$F$116</f>
        <v/>
      </c>
      <c r="Z154" s="52" t="n"/>
    </row>
    <row r="155">
      <c r="B155" s="5" t="inlineStr">
        <is>
          <t>Cosy afternoon carbon intensity (kg/kWh) - average of WattTime marginal intensities for all half-hours in relevant year</t>
        </is>
      </c>
      <c r="F155" s="262">
        <f>'WattTime marginal carbon intens'!F7/1000</f>
        <v/>
      </c>
      <c r="G155" s="52">
        <f>$F155 * G$116/$F$116</f>
        <v/>
      </c>
      <c r="H155" s="52">
        <f>$F155 * H$116/$F$116</f>
        <v/>
      </c>
      <c r="I155" s="52">
        <f>$F155 * I$116/$F$116</f>
        <v/>
      </c>
      <c r="J155" s="52">
        <f>$F155 * J$116/$F$116</f>
        <v/>
      </c>
      <c r="K155" s="52">
        <f>$F155 * K$116/$F$116</f>
        <v/>
      </c>
      <c r="L155" s="52">
        <f>$F155 * L$116/$F$116</f>
        <v/>
      </c>
      <c r="M155" s="52">
        <f>$F155 * M$116/$F$116</f>
        <v/>
      </c>
      <c r="N155" s="52">
        <f>$F155 * N$116/$F$116</f>
        <v/>
      </c>
      <c r="O155" s="52">
        <f>$F155 * O$116/$F$116</f>
        <v/>
      </c>
      <c r="P155" s="52">
        <f>$F155 * P$116/$F$116</f>
        <v/>
      </c>
      <c r="Q155" s="52">
        <f>$F155 * Q$116/$F$116</f>
        <v/>
      </c>
      <c r="R155" s="52">
        <f>$F155 * R$116/$F$116</f>
        <v/>
      </c>
      <c r="S155" s="52">
        <f>$F155 * S$116/$F$116</f>
        <v/>
      </c>
      <c r="T155" s="52">
        <f>$F155 * T$116/$F$116</f>
        <v/>
      </c>
      <c r="U155" s="52">
        <f>$F155 * U$116/$F$116</f>
        <v/>
      </c>
      <c r="V155" s="52">
        <f>$F155 * V$116/$F$116</f>
        <v/>
      </c>
      <c r="W155" s="52">
        <f>$F155 * W$116/$F$116</f>
        <v/>
      </c>
      <c r="X155" s="52">
        <f>$F155 * X$116/$F$116</f>
        <v/>
      </c>
      <c r="Y155" s="52">
        <f>$F155 * Y$116/$F$116</f>
        <v/>
      </c>
      <c r="Z155" s="52" t="n"/>
    </row>
    <row r="156">
      <c r="B156" s="5" t="n"/>
      <c r="C156" s="262" t="n"/>
    </row>
    <row r="157">
      <c r="B157" s="5" t="inlineStr">
        <is>
          <t>Peak period # half-hours</t>
        </is>
      </c>
      <c r="C157" s="262" t="n">
        <v>6</v>
      </c>
    </row>
    <row r="158">
      <c r="B158" s="5" t="inlineStr">
        <is>
          <t>Other period # half-hours</t>
        </is>
      </c>
      <c r="C158" s="262">
        <f>48-C157-C159-C160</f>
        <v/>
      </c>
    </row>
    <row r="159">
      <c r="B159" s="5" t="inlineStr">
        <is>
          <t>Cosy morning # half-hours</t>
        </is>
      </c>
      <c r="C159" s="262" t="n">
        <v>6</v>
      </c>
    </row>
    <row r="160">
      <c r="B160" s="5" t="inlineStr">
        <is>
          <t>Cosy afternoon # half-hours</t>
        </is>
      </c>
      <c r="C160" s="262" t="n">
        <v>6</v>
      </c>
    </row>
    <row r="161">
      <c r="B161" s="5" t="n"/>
      <c r="F161" s="262" t="n"/>
    </row>
    <row r="162">
      <c r="B162" s="5" t="inlineStr">
        <is>
          <t>Cosy peak rate</t>
        </is>
      </c>
      <c r="F162" s="27" t="n">
        <v>0.3406</v>
      </c>
    </row>
    <row r="163">
      <c r="B163" s="5" t="inlineStr">
        <is>
          <t>Cost of typical marginal rate</t>
        </is>
      </c>
      <c r="F163" s="27" t="n">
        <v>0.2349</v>
      </c>
    </row>
    <row r="164">
      <c r="B164" s="5" t="inlineStr">
        <is>
          <t>Cosy off-peak rate</t>
        </is>
      </c>
      <c r="F164" s="27" t="n">
        <v>0.1151</v>
      </c>
    </row>
    <row r="166">
      <c r="B166" s="5" t="inlineStr">
        <is>
          <t>Peak period system price (£/kWh)</t>
        </is>
      </c>
      <c r="D166" s="27">
        <f>hLOOKUP(D$141,'System price'!$G$4:$I$8,4,false)/1000</f>
        <v/>
      </c>
      <c r="E166" s="27">
        <f>hLOOKUP(E$141,'System price'!$G$4:$I$8,4,false)/1000</f>
        <v/>
      </c>
      <c r="F166" s="27">
        <f>hLOOKUP(F$141,'System price'!$G$4:$I$8,4,false)/1000</f>
        <v/>
      </c>
    </row>
    <row r="167">
      <c r="B167" s="5" t="inlineStr">
        <is>
          <t>Other period system price (£/kWh)</t>
        </is>
      </c>
      <c r="D167" s="27">
        <f>hLOOKUP(D$141,'System price'!$G$4:$I$8,5,false)/1000</f>
        <v/>
      </c>
      <c r="E167" s="27">
        <f>hLOOKUP(E$141,'System price'!$G$4:$I$8,5,false)/1000</f>
        <v/>
      </c>
      <c r="F167" s="27">
        <f>hLOOKUP(F$141,'System price'!$G$4:$I$8,5,false)/1000</f>
        <v/>
      </c>
    </row>
    <row r="168">
      <c r="B168" s="5" t="inlineStr">
        <is>
          <t>Cosy morning system price (£/kWh)</t>
        </is>
      </c>
      <c r="D168" s="27">
        <f>hLOOKUP(D$141,'System price'!$G$4:$I$8,2,false)/1000</f>
        <v/>
      </c>
      <c r="E168" s="27">
        <f>hLOOKUP(E$141,'System price'!$G$4:$I$8,2,false)/1000</f>
        <v/>
      </c>
      <c r="F168" s="27">
        <f>hLOOKUP(F$141,'System price'!$G$4:$I$8,2,false)/1000</f>
        <v/>
      </c>
    </row>
    <row r="169">
      <c r="B169" s="5" t="inlineStr">
        <is>
          <t>Cosy afternoon system price (£/kWh)</t>
        </is>
      </c>
      <c r="D169" s="27">
        <f>hLOOKUP(D$141,'System price'!$G$4:$I$8,3,false)/1000</f>
        <v/>
      </c>
      <c r="E169" s="27">
        <f>hLOOKUP(E$141,'System price'!$G$4:$I$8,3,false)/1000</f>
        <v/>
      </c>
      <c r="F169" s="27">
        <f>hLOOKUP(F$141,'System price'!$G$4:$I$8,3,false)/1000</f>
        <v/>
      </c>
    </row>
  </sheetData>
  <mergeCells count="1">
    <mergeCell ref="D152:E155"/>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Y108"/>
  <sheetViews>
    <sheetView workbookViewId="0">
      <selection activeCell="A1" sqref="A1"/>
    </sheetView>
  </sheetViews>
  <sheetFormatPr baseColWidth="8" defaultColWidth="12.63" defaultRowHeight="15.75" customHeight="1"/>
  <sheetData>
    <row r="1">
      <c r="A1" s="262" t="inlineStr">
        <is>
          <t>Source: https://www.gov.uk/government/collections/gdp-deflators-at-market-prices-and-money-gdp#:~:text=GDP%20deflators%20at%20market%20prices%2C%20and%20money%20GDP%20June%202024%20(Quarterly%20National%20Accounts)</t>
        </is>
      </c>
    </row>
    <row r="4">
      <c r="A4" s="214" t="n"/>
      <c r="B4" s="80" t="inlineStr">
        <is>
          <t>GDP DEFLATORS AT MARKET PRICES, AND MONEY GDP</t>
        </is>
      </c>
      <c r="C4" s="81" t="n"/>
      <c r="D4" s="81" t="n"/>
      <c r="E4" s="81" t="n"/>
      <c r="F4" s="81" t="n"/>
      <c r="G4" s="81" t="n"/>
      <c r="H4" s="81" t="n"/>
      <c r="I4" s="81" t="n"/>
      <c r="J4" s="81" t="n"/>
      <c r="K4" s="81" t="n"/>
      <c r="L4" s="81" t="n"/>
      <c r="M4" s="81" t="n"/>
      <c r="N4" s="81" t="n"/>
      <c r="O4" s="81" t="n"/>
      <c r="P4" s="81" t="n"/>
      <c r="Q4" s="81" t="n"/>
      <c r="R4" s="81" t="n"/>
      <c r="S4" s="81" t="n"/>
      <c r="T4" s="81" t="n"/>
      <c r="U4" s="81" t="n"/>
      <c r="V4" s="81" t="n"/>
      <c r="W4" s="81" t="n"/>
      <c r="X4" s="81" t="n"/>
      <c r="Y4" s="82" t="n"/>
    </row>
    <row r="5">
      <c r="A5" s="83" t="n"/>
      <c r="B5" s="169" t="n"/>
      <c r="C5" s="169" t="n"/>
      <c r="D5" s="169" t="n"/>
      <c r="E5" s="169" t="n"/>
      <c r="F5" s="169" t="n"/>
      <c r="G5" s="169" t="n"/>
      <c r="H5" s="169" t="n"/>
      <c r="I5" s="169" t="n"/>
      <c r="J5" s="169" t="n"/>
      <c r="K5" s="169" t="n"/>
      <c r="L5" s="169" t="n"/>
      <c r="M5" s="169" t="n"/>
      <c r="N5" s="169" t="n"/>
      <c r="O5" s="169" t="n"/>
      <c r="P5" s="169" t="n"/>
      <c r="Q5" s="169" t="n"/>
      <c r="R5" s="169" t="n"/>
      <c r="S5" s="169" t="n"/>
      <c r="T5" s="169" t="n"/>
      <c r="U5" s="169" t="n"/>
      <c r="V5" s="169" t="n"/>
      <c r="W5" s="169" t="n"/>
      <c r="X5" s="169" t="n"/>
      <c r="Y5" s="85" t="n"/>
    </row>
    <row r="6">
      <c r="A6" s="83" t="n"/>
      <c r="B6" s="95" t="inlineStr">
        <is>
          <t>Outturn data are as at the Quarterly National Accounts from ONS - last updated 28 June 2024.</t>
        </is>
      </c>
      <c r="C6" s="285" t="n"/>
      <c r="D6" s="285" t="n"/>
      <c r="E6" s="285" t="n"/>
      <c r="F6" s="285" t="n"/>
      <c r="G6" s="285" t="n"/>
      <c r="H6" s="285" t="n"/>
      <c r="I6" s="285" t="n"/>
      <c r="J6" s="285" t="n"/>
      <c r="K6" s="286" t="n"/>
      <c r="L6" s="169" t="n"/>
      <c r="M6" s="169" t="n"/>
      <c r="N6" s="169" t="n"/>
      <c r="O6" s="169" t="n"/>
      <c r="P6" s="169" t="n"/>
      <c r="Q6" s="169" t="n"/>
      <c r="R6" s="169" t="n"/>
      <c r="S6" s="169" t="n"/>
      <c r="T6" s="169" t="n"/>
      <c r="U6" s="169" t="n"/>
      <c r="V6" s="169" t="n"/>
      <c r="W6" s="169" t="n"/>
      <c r="X6" s="169" t="n"/>
      <c r="Y6" s="85" t="n"/>
    </row>
    <row r="7">
      <c r="A7" s="83" t="n"/>
      <c r="B7" s="100" t="inlineStr">
        <is>
          <t>Forecast data are consistent with OBR EFO data as at Budget 6 March 2024.</t>
        </is>
      </c>
      <c r="C7" s="285" t="n"/>
      <c r="D7" s="285" t="n"/>
      <c r="E7" s="285" t="n"/>
      <c r="F7" s="285" t="n"/>
      <c r="G7" s="285" t="n"/>
      <c r="H7" s="285" t="n"/>
      <c r="I7" s="285" t="n"/>
      <c r="J7" s="285" t="n"/>
      <c r="K7" s="286" t="n"/>
      <c r="L7" s="169" t="n"/>
      <c r="M7" s="169" t="n"/>
      <c r="N7" s="169" t="n"/>
      <c r="O7" s="169" t="n"/>
      <c r="P7" s="169" t="n"/>
      <c r="Q7" s="169" t="n"/>
      <c r="R7" s="169" t="n"/>
      <c r="S7" s="169" t="n"/>
      <c r="T7" s="169" t="n"/>
      <c r="U7" s="169" t="n"/>
      <c r="V7" s="169" t="n"/>
      <c r="W7" s="169" t="n"/>
      <c r="X7" s="169" t="n"/>
      <c r="Y7" s="85" t="n"/>
    </row>
    <row r="8">
      <c r="A8" s="83" t="n"/>
      <c r="B8" s="287" t="inlineStr">
        <is>
          <t>Financial year</t>
        </is>
      </c>
      <c r="C8" s="285" t="n"/>
      <c r="D8" s="285" t="n"/>
      <c r="E8" s="285" t="n"/>
      <c r="F8" s="286" t="n"/>
      <c r="G8" s="169" t="n"/>
      <c r="H8" s="288" t="inlineStr">
        <is>
          <t>Calendar year</t>
        </is>
      </c>
      <c r="I8" s="285" t="n"/>
      <c r="J8" s="285" t="n"/>
      <c r="K8" s="286" t="n"/>
      <c r="L8" s="169" t="n"/>
      <c r="M8" s="169" t="n"/>
      <c r="N8" s="169" t="n"/>
      <c r="O8" s="169" t="n"/>
      <c r="P8" s="169" t="n"/>
      <c r="Q8" s="169" t="n"/>
      <c r="R8" s="169" t="n"/>
      <c r="S8" s="169" t="n"/>
      <c r="T8" s="169" t="n"/>
      <c r="U8" s="169" t="n"/>
      <c r="V8" s="169" t="n"/>
      <c r="W8" s="169" t="n"/>
      <c r="X8" s="169" t="n"/>
      <c r="Y8" s="85" t="n"/>
    </row>
    <row r="9">
      <c r="A9" s="83" t="n"/>
      <c r="B9" s="169" t="n"/>
      <c r="C9" s="93" t="inlineStr">
        <is>
          <t>GDP deflator at market prices</t>
        </is>
      </c>
      <c r="D9" s="286" t="n"/>
      <c r="E9" s="93" t="inlineStr">
        <is>
          <t>Money GDP (3), (4)</t>
        </is>
      </c>
      <c r="F9" s="286" t="n"/>
      <c r="G9" s="169" t="n"/>
      <c r="H9" s="169" t="n"/>
      <c r="I9" s="93" t="inlineStr">
        <is>
          <t>GDP deflator at market prices</t>
        </is>
      </c>
      <c r="J9" s="286" t="n"/>
      <c r="K9" s="93" t="inlineStr">
        <is>
          <t>Money GDP (3)</t>
        </is>
      </c>
      <c r="L9" s="169" t="n"/>
      <c r="M9" s="169" t="n"/>
      <c r="N9" s="169" t="n"/>
      <c r="O9" s="169" t="n"/>
      <c r="P9" s="169" t="n"/>
      <c r="Q9" s="169" t="n"/>
      <c r="R9" s="169" t="n"/>
      <c r="S9" s="169" t="n"/>
      <c r="T9" s="169" t="n"/>
      <c r="U9" s="169" t="n"/>
      <c r="V9" s="169" t="n"/>
      <c r="W9" s="169" t="n"/>
      <c r="X9" s="169" t="n"/>
      <c r="Y9" s="85" t="n"/>
    </row>
    <row r="10">
      <c r="A10" s="94" t="n"/>
      <c r="B10" s="95" t="inlineStr">
        <is>
          <t>Financial year</t>
        </is>
      </c>
      <c r="C10" s="95" t="inlineStr">
        <is>
          <t>2023-24 = 100</t>
        </is>
      </c>
      <c r="D10" s="95" t="inlineStr">
        <is>
          <t>per cent change on previous year</t>
        </is>
      </c>
      <c r="E10" s="95" t="inlineStr">
        <is>
          <t>Cash £ million
 Non-Season-ally Adjusted</t>
        </is>
      </c>
      <c r="F10" s="95" t="inlineStr">
        <is>
          <t>Cash £ million
 Seasonally Adjusted</t>
        </is>
      </c>
      <c r="G10" s="96" t="n"/>
      <c r="H10" s="95" t="inlineStr">
        <is>
          <t>Calendar year</t>
        </is>
      </c>
      <c r="I10" s="95" t="inlineStr">
        <is>
          <t>2023 = 100</t>
        </is>
      </c>
      <c r="J10" s="95" t="inlineStr">
        <is>
          <t>per cent change on previous year</t>
        </is>
      </c>
      <c r="K10" s="95" t="inlineStr">
        <is>
          <t>Cash £ million
 Non-Seasonally Adjusted</t>
        </is>
      </c>
      <c r="L10" s="96" t="n"/>
      <c r="M10" s="96" t="n"/>
      <c r="N10" s="96" t="n"/>
      <c r="O10" s="96" t="n"/>
      <c r="P10" s="96" t="n"/>
      <c r="Q10" s="96" t="n"/>
      <c r="R10" s="96" t="n"/>
      <c r="S10" s="96" t="n"/>
      <c r="T10" s="96" t="n"/>
      <c r="U10" s="96" t="n"/>
      <c r="V10" s="96" t="n"/>
      <c r="W10" s="96" t="n"/>
      <c r="X10" s="96" t="n"/>
      <c r="Y10" s="97" t="n"/>
    </row>
    <row r="11">
      <c r="A11" s="94" t="n"/>
      <c r="B11" s="95" t="inlineStr">
        <is>
          <t>1955-56</t>
        </is>
      </c>
      <c r="C11" s="98" t="n">
        <v>3.316</v>
      </c>
      <c r="D11" s="96" t="n"/>
      <c r="E11" s="99" t="n">
        <v>19574</v>
      </c>
      <c r="F11" s="99" t="n">
        <v>19589</v>
      </c>
      <c r="G11" s="96" t="n"/>
      <c r="H11" s="100" t="n">
        <v>1955</v>
      </c>
      <c r="I11" s="98" t="n">
        <v>3.3</v>
      </c>
      <c r="J11" s="96" t="n"/>
      <c r="K11" s="99" t="n">
        <v>19169</v>
      </c>
      <c r="L11" s="96" t="n"/>
      <c r="M11" s="96" t="n"/>
      <c r="N11" s="96" t="n"/>
      <c r="O11" s="96" t="n"/>
      <c r="P11" s="96" t="n"/>
      <c r="Q11" s="96" t="n"/>
      <c r="R11" s="96" t="n"/>
      <c r="S11" s="96" t="n"/>
      <c r="T11" s="96" t="n"/>
      <c r="U11" s="96" t="n"/>
      <c r="V11" s="96" t="n"/>
      <c r="W11" s="96" t="n"/>
      <c r="X11" s="96" t="n"/>
      <c r="Y11" s="97" t="n"/>
    </row>
    <row r="12">
      <c r="A12" s="94" t="n"/>
      <c r="B12" s="95" t="inlineStr">
        <is>
          <t>1956-57</t>
        </is>
      </c>
      <c r="C12" s="98" t="n">
        <v>3.522</v>
      </c>
      <c r="D12" s="98" t="n">
        <v>6.21</v>
      </c>
      <c r="E12" s="99" t="n">
        <v>21162</v>
      </c>
      <c r="F12" s="99" t="n">
        <v>21138</v>
      </c>
      <c r="G12" s="96" t="n"/>
      <c r="H12" s="100" t="n">
        <v>1956</v>
      </c>
      <c r="I12" s="98" t="n">
        <v>3.53</v>
      </c>
      <c r="J12" s="98" t="n">
        <v>6.94</v>
      </c>
      <c r="K12" s="99" t="n">
        <v>20844</v>
      </c>
      <c r="L12" s="96" t="n"/>
      <c r="M12" s="96" t="n"/>
      <c r="N12" s="96" t="n"/>
      <c r="O12" s="96" t="n"/>
      <c r="P12" s="96" t="n"/>
      <c r="Q12" s="96" t="n"/>
      <c r="R12" s="96" t="n"/>
      <c r="S12" s="96" t="n"/>
      <c r="T12" s="96" t="n"/>
      <c r="U12" s="96" t="n"/>
      <c r="V12" s="96" t="n"/>
      <c r="W12" s="96" t="n"/>
      <c r="X12" s="96" t="n"/>
      <c r="Y12" s="97" t="n"/>
    </row>
    <row r="13">
      <c r="A13" s="94" t="n"/>
      <c r="B13" s="95" t="inlineStr">
        <is>
          <t>1957-58</t>
        </is>
      </c>
      <c r="C13" s="98" t="n">
        <v>3.684</v>
      </c>
      <c r="D13" s="98" t="n">
        <v>4.61</v>
      </c>
      <c r="E13" s="99" t="n">
        <v>22509</v>
      </c>
      <c r="F13" s="99" t="n">
        <v>22524</v>
      </c>
      <c r="G13" s="96" t="n"/>
      <c r="H13" s="100" t="n">
        <v>1957</v>
      </c>
      <c r="I13" s="98" t="n">
        <v>3.671</v>
      </c>
      <c r="J13" s="98" t="n">
        <v>4.01</v>
      </c>
      <c r="K13" s="99" t="n">
        <v>22104</v>
      </c>
      <c r="L13" s="96" t="n"/>
      <c r="M13" s="96" t="n"/>
      <c r="N13" s="96" t="n"/>
      <c r="O13" s="96" t="n"/>
      <c r="P13" s="96" t="n"/>
      <c r="Q13" s="96" t="n"/>
      <c r="R13" s="96" t="n"/>
      <c r="S13" s="96" t="n"/>
      <c r="T13" s="96" t="n"/>
      <c r="U13" s="96" t="n"/>
      <c r="V13" s="96" t="n"/>
      <c r="W13" s="96" t="n"/>
      <c r="X13" s="96" t="n"/>
      <c r="Y13" s="97" t="n"/>
    </row>
    <row r="14">
      <c r="A14" s="94" t="n"/>
      <c r="B14" s="95" t="inlineStr">
        <is>
          <t>1958-59</t>
        </is>
      </c>
      <c r="C14" s="98" t="n">
        <v>3.774</v>
      </c>
      <c r="D14" s="98" t="n">
        <v>2.43</v>
      </c>
      <c r="E14" s="99" t="n">
        <v>23335</v>
      </c>
      <c r="F14" s="99" t="n">
        <v>23305</v>
      </c>
      <c r="G14" s="96" t="n"/>
      <c r="H14" s="100" t="n">
        <v>1958</v>
      </c>
      <c r="I14" s="98" t="n">
        <v>3.805</v>
      </c>
      <c r="J14" s="98" t="n">
        <v>3.65</v>
      </c>
      <c r="K14" s="99" t="n">
        <v>23220</v>
      </c>
      <c r="L14" s="96" t="n"/>
      <c r="M14" s="96" t="n"/>
      <c r="N14" s="96" t="n"/>
      <c r="O14" s="96" t="n"/>
      <c r="P14" s="96" t="n"/>
      <c r="Q14" s="96" t="n"/>
      <c r="R14" s="96" t="n"/>
      <c r="S14" s="96" t="n"/>
      <c r="T14" s="96" t="n"/>
      <c r="U14" s="96" t="n"/>
      <c r="V14" s="96" t="n"/>
      <c r="W14" s="96" t="n"/>
      <c r="X14" s="96" t="n"/>
      <c r="Y14" s="97" t="n"/>
    </row>
    <row r="15">
      <c r="A15" s="94" t="n"/>
      <c r="B15" s="95" t="inlineStr">
        <is>
          <t>1959-60</t>
        </is>
      </c>
      <c r="C15" s="98" t="n">
        <v>3.794</v>
      </c>
      <c r="D15" s="98" t="n">
        <v>0.52</v>
      </c>
      <c r="E15" s="99" t="n">
        <v>24873</v>
      </c>
      <c r="F15" s="99" t="n">
        <v>24928</v>
      </c>
      <c r="G15" s="96" t="n"/>
      <c r="H15" s="100" t="n">
        <v>1959</v>
      </c>
      <c r="I15" s="98" t="n">
        <v>3.832</v>
      </c>
      <c r="J15" s="98" t="n">
        <v>0.72</v>
      </c>
      <c r="K15" s="99" t="n">
        <v>24388</v>
      </c>
      <c r="L15" s="96" t="n"/>
      <c r="M15" s="96" t="n"/>
      <c r="N15" s="96" t="n"/>
      <c r="O15" s="96" t="n"/>
      <c r="P15" s="96" t="n"/>
      <c r="Q15" s="96" t="n"/>
      <c r="R15" s="96" t="n"/>
      <c r="S15" s="96" t="n"/>
      <c r="T15" s="96" t="n"/>
      <c r="U15" s="96" t="n"/>
      <c r="V15" s="96" t="n"/>
      <c r="W15" s="96" t="n"/>
      <c r="X15" s="96" t="n"/>
      <c r="Y15" s="97" t="n"/>
    </row>
    <row r="16">
      <c r="A16" s="94" t="n"/>
      <c r="B16" s="95" t="inlineStr">
        <is>
          <t>1960-61</t>
        </is>
      </c>
      <c r="C16" s="98" t="n">
        <v>3.869</v>
      </c>
      <c r="D16" s="98" t="n">
        <v>2</v>
      </c>
      <c r="E16" s="99" t="n">
        <v>26639</v>
      </c>
      <c r="F16" s="99" t="n">
        <v>26657</v>
      </c>
      <c r="G16" s="96" t="n"/>
      <c r="H16" s="100" t="n">
        <v>1960</v>
      </c>
      <c r="I16" s="98" t="n">
        <v>3.872</v>
      </c>
      <c r="J16" s="98" t="n">
        <v>1.04</v>
      </c>
      <c r="K16" s="99" t="n">
        <v>26201</v>
      </c>
      <c r="L16" s="96" t="n"/>
      <c r="M16" s="96" t="n"/>
      <c r="N16" s="96" t="n"/>
      <c r="O16" s="96" t="n"/>
      <c r="P16" s="96" t="n"/>
      <c r="Q16" s="96" t="n"/>
      <c r="R16" s="96" t="n"/>
      <c r="S16" s="96" t="n"/>
      <c r="T16" s="96" t="n"/>
      <c r="U16" s="96" t="n"/>
      <c r="V16" s="96" t="n"/>
      <c r="W16" s="96" t="n"/>
      <c r="X16" s="96" t="n"/>
      <c r="Y16" s="97" t="n"/>
    </row>
    <row r="17">
      <c r="A17" s="94" t="n"/>
      <c r="B17" s="95" t="inlineStr">
        <is>
          <t>1961-62</t>
        </is>
      </c>
      <c r="C17" s="98" t="n">
        <v>4.012</v>
      </c>
      <c r="D17" s="98" t="n">
        <v>3.67</v>
      </c>
      <c r="E17" s="99" t="n">
        <v>28141</v>
      </c>
      <c r="F17" s="99" t="n">
        <v>28169</v>
      </c>
      <c r="G17" s="96" t="n"/>
      <c r="H17" s="100" t="n">
        <v>1961</v>
      </c>
      <c r="I17" s="98" t="n">
        <v>4.019</v>
      </c>
      <c r="J17" s="98" t="n">
        <v>3.79</v>
      </c>
      <c r="K17" s="99" t="n">
        <v>27918</v>
      </c>
      <c r="L17" s="96" t="n"/>
      <c r="M17" s="96" t="n"/>
      <c r="N17" s="96" t="n"/>
      <c r="O17" s="96" t="n"/>
      <c r="P17" s="96" t="n"/>
      <c r="Q17" s="96" t="n"/>
      <c r="R17" s="96" t="n"/>
      <c r="S17" s="96" t="n"/>
      <c r="T17" s="96" t="n"/>
      <c r="U17" s="96" t="n"/>
      <c r="V17" s="96" t="n"/>
      <c r="W17" s="96" t="n"/>
      <c r="X17" s="96" t="n"/>
      <c r="Y17" s="97" t="n"/>
    </row>
    <row r="18">
      <c r="A18" s="94" t="n"/>
      <c r="B18" s="95" t="inlineStr">
        <is>
          <t>1962-63</t>
        </is>
      </c>
      <c r="C18" s="98" t="n">
        <v>4.137</v>
      </c>
      <c r="D18" s="98" t="n">
        <v>3.12</v>
      </c>
      <c r="E18" s="99" t="n">
        <v>29450</v>
      </c>
      <c r="F18" s="99" t="n">
        <v>29468</v>
      </c>
      <c r="G18" s="96" t="n"/>
      <c r="H18" s="100" t="n">
        <v>1962</v>
      </c>
      <c r="I18" s="98" t="n">
        <v>4.164</v>
      </c>
      <c r="J18" s="98" t="n">
        <v>3.6</v>
      </c>
      <c r="K18" s="99" t="n">
        <v>29235</v>
      </c>
      <c r="L18" s="96" t="n"/>
      <c r="M18" s="96" t="n"/>
      <c r="N18" s="96" t="n"/>
      <c r="O18" s="96" t="n"/>
      <c r="P18" s="96" t="n"/>
      <c r="Q18" s="96" t="n"/>
      <c r="R18" s="96" t="n"/>
      <c r="S18" s="96" t="n"/>
      <c r="T18" s="96" t="n"/>
      <c r="U18" s="96" t="n"/>
      <c r="V18" s="96" t="n"/>
      <c r="W18" s="96" t="n"/>
      <c r="X18" s="96" t="n"/>
      <c r="Y18" s="97" t="n"/>
    </row>
    <row r="19">
      <c r="A19" s="94" t="n"/>
      <c r="B19" s="95" t="inlineStr">
        <is>
          <t>1963-64</t>
        </is>
      </c>
      <c r="C19" s="98" t="n">
        <v>4.206</v>
      </c>
      <c r="D19" s="98" t="n">
        <v>1.68</v>
      </c>
      <c r="E19" s="99" t="n">
        <v>31921</v>
      </c>
      <c r="F19" s="99" t="n">
        <v>31876</v>
      </c>
      <c r="G19" s="96" t="n"/>
      <c r="H19" s="100" t="n">
        <v>1963</v>
      </c>
      <c r="I19" s="98" t="n">
        <v>4.225</v>
      </c>
      <c r="J19" s="98" t="n">
        <v>1.46</v>
      </c>
      <c r="K19" s="99" t="n">
        <v>31099</v>
      </c>
      <c r="L19" s="96" t="n"/>
      <c r="M19" s="96" t="n"/>
      <c r="N19" s="96" t="n"/>
      <c r="O19" s="96" t="n"/>
      <c r="P19" s="96" t="n"/>
      <c r="Q19" s="96" t="n"/>
      <c r="R19" s="96" t="n"/>
      <c r="S19" s="96" t="n"/>
      <c r="T19" s="96" t="n"/>
      <c r="U19" s="96" t="n"/>
      <c r="V19" s="96" t="n"/>
      <c r="W19" s="96" t="n"/>
      <c r="X19" s="96" t="n"/>
      <c r="Y19" s="97" t="n"/>
    </row>
    <row r="20">
      <c r="A20" s="83" t="n"/>
      <c r="B20" s="100" t="inlineStr">
        <is>
          <t>1964-65</t>
        </is>
      </c>
      <c r="C20" s="101" t="n">
        <v>4.404</v>
      </c>
      <c r="D20" s="98" t="n">
        <v>4.71</v>
      </c>
      <c r="E20" s="102" t="n">
        <v>34855</v>
      </c>
      <c r="F20" s="102" t="n">
        <v>34924</v>
      </c>
      <c r="G20" s="96" t="n"/>
      <c r="H20" s="100" t="n">
        <v>1964</v>
      </c>
      <c r="I20" s="101" t="n">
        <v>4.376</v>
      </c>
      <c r="J20" s="101" t="n">
        <v>3.58</v>
      </c>
      <c r="K20" s="102" t="n">
        <v>34047</v>
      </c>
      <c r="L20" s="96" t="n"/>
      <c r="M20" s="96" t="n"/>
      <c r="N20" s="169" t="n"/>
      <c r="O20" s="169" t="n"/>
      <c r="P20" s="169" t="n"/>
      <c r="Q20" s="169" t="n"/>
      <c r="R20" s="169" t="n"/>
      <c r="S20" s="169" t="n"/>
      <c r="T20" s="169" t="n"/>
      <c r="U20" s="169" t="n"/>
      <c r="V20" s="169" t="n"/>
      <c r="W20" s="169" t="n"/>
      <c r="X20" s="169" t="n"/>
      <c r="Y20" s="85" t="n"/>
    </row>
    <row r="21">
      <c r="A21" s="83" t="n"/>
      <c r="B21" s="100" t="inlineStr">
        <is>
          <t>1965-66</t>
        </is>
      </c>
      <c r="C21" s="100" t="n">
        <v>4.641</v>
      </c>
      <c r="D21" s="98" t="n">
        <v>5.38</v>
      </c>
      <c r="E21" s="103" t="n">
        <v>37461</v>
      </c>
      <c r="F21" s="103" t="n">
        <v>37415</v>
      </c>
      <c r="G21" s="96" t="n"/>
      <c r="H21" s="100" t="n">
        <v>1965</v>
      </c>
      <c r="I21" s="101" t="n">
        <v>4.636</v>
      </c>
      <c r="J21" s="101" t="n">
        <v>5.94</v>
      </c>
      <c r="K21" s="102" t="n">
        <v>36828</v>
      </c>
      <c r="L21" s="96" t="n"/>
      <c r="M21" s="96" t="n"/>
      <c r="N21" s="169" t="n"/>
      <c r="O21" s="169" t="n"/>
      <c r="P21" s="169" t="n"/>
      <c r="Q21" s="169" t="n"/>
      <c r="R21" s="169" t="n"/>
      <c r="S21" s="169" t="n"/>
      <c r="T21" s="169" t="n"/>
      <c r="U21" s="169" t="n"/>
      <c r="V21" s="169" t="n"/>
      <c r="W21" s="169" t="n"/>
      <c r="X21" s="169" t="n"/>
      <c r="Y21" s="85" t="n"/>
    </row>
    <row r="22">
      <c r="A22" s="83" t="n"/>
      <c r="B22" s="100" t="inlineStr">
        <is>
          <t>1966-67</t>
        </is>
      </c>
      <c r="C22" s="100" t="n">
        <v>4.877</v>
      </c>
      <c r="D22" s="98" t="n">
        <v>5.09</v>
      </c>
      <c r="E22" s="103" t="n">
        <v>39949</v>
      </c>
      <c r="F22" s="103" t="n">
        <v>39946</v>
      </c>
      <c r="G22" s="96" t="n"/>
      <c r="H22" s="100" t="n">
        <v>1966</v>
      </c>
      <c r="I22" s="101" t="n">
        <v>4.883</v>
      </c>
      <c r="J22" s="101" t="n">
        <v>5.34</v>
      </c>
      <c r="K22" s="102" t="n">
        <v>39394</v>
      </c>
      <c r="L22" s="96" t="n"/>
      <c r="M22" s="96" t="n"/>
      <c r="N22" s="169" t="n"/>
      <c r="O22" s="169" t="n"/>
      <c r="P22" s="169" t="n"/>
      <c r="Q22" s="169" t="n"/>
      <c r="R22" s="169" t="n"/>
      <c r="S22" s="169" t="n"/>
      <c r="T22" s="169" t="n"/>
      <c r="U22" s="169" t="n"/>
      <c r="V22" s="169" t="n"/>
      <c r="W22" s="169" t="n"/>
      <c r="X22" s="169" t="n"/>
      <c r="Y22" s="85" t="n"/>
    </row>
    <row r="23">
      <c r="A23" s="83" t="n"/>
      <c r="B23" s="100" t="inlineStr">
        <is>
          <t>1967-68</t>
        </is>
      </c>
      <c r="C23" s="100" t="n">
        <v>5.011</v>
      </c>
      <c r="D23" s="98" t="n">
        <v>2.74</v>
      </c>
      <c r="E23" s="103" t="n">
        <v>42504</v>
      </c>
      <c r="F23" s="103" t="n">
        <v>42612</v>
      </c>
      <c r="G23" s="96" t="n"/>
      <c r="H23" s="100" t="n">
        <v>1967</v>
      </c>
      <c r="I23" s="101" t="n">
        <v>5.027</v>
      </c>
      <c r="J23" s="101" t="n">
        <v>2.94</v>
      </c>
      <c r="K23" s="102" t="n">
        <v>41673</v>
      </c>
      <c r="L23" s="96" t="n"/>
      <c r="M23" s="96" t="n"/>
      <c r="N23" s="169" t="n"/>
      <c r="O23" s="169" t="n"/>
      <c r="P23" s="169" t="n"/>
      <c r="Q23" s="169" t="n"/>
      <c r="R23" s="169" t="n"/>
      <c r="S23" s="169" t="n"/>
      <c r="T23" s="169" t="n"/>
      <c r="U23" s="169" t="n"/>
      <c r="V23" s="169" t="n"/>
      <c r="W23" s="169" t="n"/>
      <c r="X23" s="169" t="n"/>
      <c r="Y23" s="85" t="n"/>
    </row>
    <row r="24">
      <c r="A24" s="83" t="n"/>
      <c r="B24" s="100" t="inlineStr">
        <is>
          <t>1968-69</t>
        </is>
      </c>
      <c r="C24" s="100" t="n">
        <v>5.273</v>
      </c>
      <c r="D24" s="98" t="n">
        <v>5.23</v>
      </c>
      <c r="E24" s="103" t="n">
        <v>46763</v>
      </c>
      <c r="F24" s="103" t="n">
        <v>46784</v>
      </c>
      <c r="G24" s="96" t="n"/>
      <c r="H24" s="100" t="n">
        <v>1968</v>
      </c>
      <c r="I24" s="101" t="n">
        <v>5.238</v>
      </c>
      <c r="J24" s="101" t="n">
        <v>4.2</v>
      </c>
      <c r="K24" s="102" t="n">
        <v>45795</v>
      </c>
      <c r="L24" s="96" t="n"/>
      <c r="M24" s="96" t="n"/>
      <c r="N24" s="169" t="n"/>
      <c r="O24" s="169" t="n"/>
      <c r="P24" s="169" t="n"/>
      <c r="Q24" s="169" t="n"/>
      <c r="R24" s="169" t="n"/>
      <c r="S24" s="169" t="n"/>
      <c r="T24" s="169" t="n"/>
      <c r="U24" s="169" t="n"/>
      <c r="V24" s="169" t="n"/>
      <c r="W24" s="169" t="n"/>
      <c r="X24" s="169" t="n"/>
      <c r="Y24" s="85" t="n"/>
    </row>
    <row r="25">
      <c r="A25" s="83" t="n"/>
      <c r="B25" s="100" t="inlineStr">
        <is>
          <t>1969-70</t>
        </is>
      </c>
      <c r="C25" s="100" t="n">
        <v>5.637</v>
      </c>
      <c r="D25" s="98" t="n">
        <v>6.91</v>
      </c>
      <c r="E25" s="103" t="n">
        <v>50843</v>
      </c>
      <c r="F25" s="103" t="n">
        <v>50895</v>
      </c>
      <c r="G25" s="96" t="n"/>
      <c r="H25" s="100" t="n">
        <v>1969</v>
      </c>
      <c r="I25" s="101" t="n">
        <v>5.585</v>
      </c>
      <c r="J25" s="101" t="n">
        <v>6.62</v>
      </c>
      <c r="K25" s="102" t="n">
        <v>49761</v>
      </c>
      <c r="L25" s="96" t="n"/>
      <c r="M25" s="96" t="n"/>
      <c r="N25" s="169" t="n"/>
      <c r="O25" s="169" t="n"/>
      <c r="P25" s="169" t="n"/>
      <c r="Q25" s="169" t="n"/>
      <c r="R25" s="169" t="n"/>
      <c r="S25" s="169" t="n"/>
      <c r="T25" s="169" t="n"/>
      <c r="U25" s="169" t="n"/>
      <c r="V25" s="169" t="n"/>
      <c r="W25" s="169" t="n"/>
      <c r="X25" s="169" t="n"/>
      <c r="Y25" s="85" t="n"/>
    </row>
    <row r="26">
      <c r="A26" s="83" t="n"/>
      <c r="B26" s="100" t="inlineStr">
        <is>
          <t>1970-71</t>
        </is>
      </c>
      <c r="C26" s="100" t="n">
        <v>6.194</v>
      </c>
      <c r="D26" s="98" t="n">
        <v>9.869999999999999</v>
      </c>
      <c r="E26" s="103" t="n">
        <v>57723</v>
      </c>
      <c r="F26" s="103" t="n">
        <v>57807</v>
      </c>
      <c r="G26" s="96" t="n"/>
      <c r="H26" s="100" t="n">
        <v>1970</v>
      </c>
      <c r="I26" s="101" t="n">
        <v>6.123</v>
      </c>
      <c r="J26" s="101" t="n">
        <v>9.630000000000001</v>
      </c>
      <c r="K26" s="102" t="n">
        <v>56041</v>
      </c>
      <c r="L26" s="96" t="n"/>
      <c r="M26" s="96" t="n"/>
      <c r="N26" s="169" t="n"/>
      <c r="O26" s="169" t="n"/>
      <c r="P26" s="169" t="n"/>
      <c r="Q26" s="169" t="n"/>
      <c r="R26" s="169" t="n"/>
      <c r="S26" s="169" t="n"/>
      <c r="T26" s="169" t="n"/>
      <c r="U26" s="169" t="n"/>
      <c r="V26" s="169" t="n"/>
      <c r="W26" s="169" t="n"/>
      <c r="X26" s="169" t="n"/>
      <c r="Y26" s="85" t="n"/>
    </row>
    <row r="27">
      <c r="A27" s="83" t="n"/>
      <c r="B27" s="100" t="inlineStr">
        <is>
          <t>1971-72</t>
        </is>
      </c>
      <c r="C27" s="100" t="n">
        <v>6.662</v>
      </c>
      <c r="D27" s="98" t="n">
        <v>7.56</v>
      </c>
      <c r="E27" s="103" t="n">
        <v>64575</v>
      </c>
      <c r="F27" s="103" t="n">
        <v>64483</v>
      </c>
      <c r="G27" s="96" t="n"/>
      <c r="H27" s="100" t="n">
        <v>1971</v>
      </c>
      <c r="I27" s="101" t="n">
        <v>6.63</v>
      </c>
      <c r="J27" s="101" t="n">
        <v>8.279999999999999</v>
      </c>
      <c r="K27" s="102" t="n">
        <v>62870</v>
      </c>
      <c r="L27" s="96" t="n"/>
      <c r="M27" s="96" t="n"/>
      <c r="N27" s="169" t="n"/>
      <c r="O27" s="169" t="n"/>
      <c r="P27" s="169" t="n"/>
      <c r="Q27" s="169" t="n"/>
      <c r="R27" s="169" t="n"/>
      <c r="S27" s="169" t="n"/>
      <c r="T27" s="169" t="n"/>
      <c r="U27" s="169" t="n"/>
      <c r="V27" s="169" t="n"/>
      <c r="W27" s="169" t="n"/>
      <c r="X27" s="169" t="n"/>
      <c r="Y27" s="85" t="n"/>
    </row>
    <row r="28">
      <c r="A28" s="83" t="n"/>
      <c r="B28" s="100" t="inlineStr">
        <is>
          <t>1972-73</t>
        </is>
      </c>
      <c r="C28" s="100" t="n">
        <v>7.229</v>
      </c>
      <c r="D28" s="98" t="n">
        <v>8.51</v>
      </c>
      <c r="E28" s="103" t="n">
        <v>73925</v>
      </c>
      <c r="F28" s="103" t="n">
        <v>74025</v>
      </c>
      <c r="G28" s="96" t="n"/>
      <c r="H28" s="100" t="n">
        <v>1972</v>
      </c>
      <c r="I28" s="101" t="n">
        <v>7.13</v>
      </c>
      <c r="J28" s="101" t="n">
        <v>7.55</v>
      </c>
      <c r="K28" s="102" t="n">
        <v>70578</v>
      </c>
      <c r="L28" s="96" t="n"/>
      <c r="M28" s="96" t="n"/>
      <c r="N28" s="169" t="n"/>
      <c r="O28" s="169" t="n"/>
      <c r="P28" s="169" t="n"/>
      <c r="Q28" s="169" t="n"/>
      <c r="R28" s="169" t="n"/>
      <c r="S28" s="169" t="n"/>
      <c r="T28" s="169" t="n"/>
      <c r="U28" s="169" t="n"/>
      <c r="V28" s="169" t="n"/>
      <c r="W28" s="169" t="n"/>
      <c r="X28" s="169" t="n"/>
      <c r="Y28" s="85" t="n"/>
    </row>
    <row r="29">
      <c r="A29" s="83" t="n"/>
      <c r="B29" s="100" t="inlineStr">
        <is>
          <t>1973-74</t>
        </is>
      </c>
      <c r="C29" s="100" t="n">
        <v>7.864</v>
      </c>
      <c r="D29" s="98" t="n">
        <v>8.779999999999999</v>
      </c>
      <c r="E29" s="103" t="n">
        <v>82855</v>
      </c>
      <c r="F29" s="103" t="n">
        <v>82879</v>
      </c>
      <c r="G29" s="96" t="n"/>
      <c r="H29" s="100" t="n">
        <v>1973</v>
      </c>
      <c r="I29" s="101" t="n">
        <v>7.763</v>
      </c>
      <c r="J29" s="101" t="n">
        <v>8.880000000000001</v>
      </c>
      <c r="K29" s="102" t="n">
        <v>81793</v>
      </c>
      <c r="L29" s="96" t="n"/>
      <c r="M29" s="96" t="n"/>
      <c r="N29" s="169" t="n"/>
      <c r="O29" s="169" t="n"/>
      <c r="P29" s="169" t="n"/>
      <c r="Q29" s="169" t="n"/>
      <c r="R29" s="169" t="n"/>
      <c r="S29" s="169" t="n"/>
      <c r="T29" s="169" t="n"/>
      <c r="U29" s="169" t="n"/>
      <c r="V29" s="169" t="n"/>
      <c r="W29" s="169" t="n"/>
      <c r="X29" s="169" t="n"/>
      <c r="Y29" s="85" t="n"/>
    </row>
    <row r="30">
      <c r="A30" s="83" t="n"/>
      <c r="B30" s="100" t="inlineStr">
        <is>
          <t>1974-75</t>
        </is>
      </c>
      <c r="C30" s="100" t="n">
        <v>9.462</v>
      </c>
      <c r="D30" s="98" t="n">
        <v>20.32</v>
      </c>
      <c r="E30" s="103" t="n">
        <v>98182</v>
      </c>
      <c r="F30" s="103" t="n">
        <v>98355</v>
      </c>
      <c r="G30" s="96" t="n"/>
      <c r="H30" s="100" t="n">
        <v>1974</v>
      </c>
      <c r="I30" s="101" t="n">
        <v>9.018000000000001</v>
      </c>
      <c r="J30" s="101" t="n">
        <v>16.16</v>
      </c>
      <c r="K30" s="102" t="n">
        <v>92673</v>
      </c>
      <c r="L30" s="96" t="n"/>
      <c r="M30" s="96" t="n"/>
      <c r="N30" s="169" t="n"/>
      <c r="O30" s="169" t="n"/>
      <c r="P30" s="169" t="n"/>
      <c r="Q30" s="169" t="n"/>
      <c r="R30" s="169" t="n"/>
      <c r="S30" s="169" t="n"/>
      <c r="T30" s="169" t="n"/>
      <c r="U30" s="169" t="n"/>
      <c r="V30" s="169" t="n"/>
      <c r="W30" s="169" t="n"/>
      <c r="X30" s="169" t="n"/>
      <c r="Y30" s="85" t="n"/>
    </row>
    <row r="31">
      <c r="A31" s="83" t="n"/>
      <c r="B31" s="100" t="inlineStr">
        <is>
          <t>1975-76</t>
        </is>
      </c>
      <c r="C31" s="100" t="n">
        <v>11.776</v>
      </c>
      <c r="D31" s="98" t="n">
        <v>24.46</v>
      </c>
      <c r="E31" s="103" t="n">
        <v>120844</v>
      </c>
      <c r="F31" s="103" t="n">
        <v>120728</v>
      </c>
      <c r="G31" s="96" t="n"/>
      <c r="H31" s="100" t="n">
        <v>1975</v>
      </c>
      <c r="I31" s="101" t="n">
        <v>11.375</v>
      </c>
      <c r="J31" s="101" t="n">
        <v>26.14</v>
      </c>
      <c r="K31" s="102" t="n">
        <v>115093</v>
      </c>
      <c r="L31" s="96" t="n"/>
      <c r="M31" s="96" t="n"/>
      <c r="N31" s="169" t="n"/>
      <c r="O31" s="169" t="n"/>
      <c r="P31" s="169" t="n"/>
      <c r="Q31" s="169" t="n"/>
      <c r="R31" s="169" t="n"/>
      <c r="S31" s="169" t="n"/>
      <c r="T31" s="169" t="n"/>
      <c r="U31" s="169" t="n"/>
      <c r="V31" s="169" t="n"/>
      <c r="W31" s="169" t="n"/>
      <c r="X31" s="169" t="n"/>
      <c r="Y31" s="85" t="n"/>
    </row>
    <row r="32">
      <c r="A32" s="83" t="n"/>
      <c r="B32" s="100" t="inlineStr">
        <is>
          <t>1976-77</t>
        </is>
      </c>
      <c r="C32" s="100" t="n">
        <v>13.418</v>
      </c>
      <c r="D32" s="98" t="n">
        <v>13.95</v>
      </c>
      <c r="E32" s="103" t="n">
        <v>142077</v>
      </c>
      <c r="F32" s="103" t="n">
        <v>142588</v>
      </c>
      <c r="G32" s="96" t="n"/>
      <c r="H32" s="100" t="n">
        <v>1976</v>
      </c>
      <c r="I32" s="101" t="n">
        <v>13.136</v>
      </c>
      <c r="J32" s="101" t="n">
        <v>15.47</v>
      </c>
      <c r="K32" s="102" t="n">
        <v>136999</v>
      </c>
      <c r="L32" s="96" t="n"/>
      <c r="M32" s="96" t="n"/>
      <c r="N32" s="169" t="n"/>
      <c r="O32" s="169" t="n"/>
      <c r="P32" s="169" t="n"/>
      <c r="Q32" s="169" t="n"/>
      <c r="R32" s="169" t="n"/>
      <c r="S32" s="169" t="n"/>
      <c r="T32" s="169" t="n"/>
      <c r="U32" s="169" t="n"/>
      <c r="V32" s="169" t="n"/>
      <c r="W32" s="169" t="n"/>
      <c r="X32" s="169" t="n"/>
      <c r="Y32" s="85" t="n"/>
    </row>
    <row r="33">
      <c r="A33" s="83" t="n"/>
      <c r="B33" s="100" t="inlineStr">
        <is>
          <t>1977-78</t>
        </is>
      </c>
      <c r="C33" s="100" t="n">
        <v>15.262</v>
      </c>
      <c r="D33" s="98" t="n">
        <v>13.74</v>
      </c>
      <c r="E33" s="103" t="n">
        <v>166100</v>
      </c>
      <c r="F33" s="103" t="n">
        <v>165888</v>
      </c>
      <c r="G33" s="96" t="n"/>
      <c r="H33" s="100" t="n">
        <v>1977</v>
      </c>
      <c r="I33" s="101" t="n">
        <v>14.956</v>
      </c>
      <c r="J33" s="101" t="n">
        <v>13.86</v>
      </c>
      <c r="K33" s="102" t="n">
        <v>159786</v>
      </c>
      <c r="L33" s="96" t="n"/>
      <c r="M33" s="96" t="n"/>
      <c r="N33" s="169" t="n"/>
      <c r="O33" s="169" t="n"/>
      <c r="P33" s="169" t="n"/>
      <c r="Q33" s="169" t="n"/>
      <c r="R33" s="169" t="n"/>
      <c r="S33" s="169" t="n"/>
      <c r="T33" s="169" t="n"/>
      <c r="U33" s="169" t="n"/>
      <c r="V33" s="169" t="n"/>
      <c r="W33" s="169" t="n"/>
      <c r="X33" s="169" t="n"/>
      <c r="Y33" s="85" t="n"/>
    </row>
    <row r="34">
      <c r="A34" s="83" t="n"/>
      <c r="B34" s="100" t="inlineStr">
        <is>
          <t>1978-79</t>
        </is>
      </c>
      <c r="C34" s="100" t="n">
        <v>16.981</v>
      </c>
      <c r="D34" s="98" t="n">
        <v>11.26</v>
      </c>
      <c r="E34" s="103" t="n">
        <v>192358</v>
      </c>
      <c r="F34" s="103" t="n">
        <v>192477</v>
      </c>
      <c r="G34" s="96" t="n"/>
      <c r="H34" s="100" t="n">
        <v>1978</v>
      </c>
      <c r="I34" s="101" t="n">
        <v>16.721</v>
      </c>
      <c r="J34" s="101" t="n">
        <v>11.8</v>
      </c>
      <c r="K34" s="102" t="n">
        <v>186158</v>
      </c>
      <c r="L34" s="96" t="n"/>
      <c r="M34" s="96" t="n"/>
      <c r="N34" s="169" t="n"/>
      <c r="O34" s="169" t="n"/>
      <c r="P34" s="169" t="n"/>
      <c r="Q34" s="169" t="n"/>
      <c r="R34" s="169" t="n"/>
      <c r="S34" s="169" t="n"/>
      <c r="T34" s="169" t="n"/>
      <c r="U34" s="169" t="n"/>
      <c r="V34" s="169" t="n"/>
      <c r="W34" s="169" t="n"/>
      <c r="X34" s="169" t="n"/>
      <c r="Y34" s="85" t="n"/>
    </row>
    <row r="35">
      <c r="A35" s="83" t="n"/>
      <c r="B35" s="100" t="inlineStr">
        <is>
          <t>1979-80</t>
        </is>
      </c>
      <c r="C35" s="100" t="n">
        <v>19.846</v>
      </c>
      <c r="D35" s="98" t="n">
        <v>16.87</v>
      </c>
      <c r="E35" s="103" t="n">
        <v>232592</v>
      </c>
      <c r="F35" s="103" t="n">
        <v>232629</v>
      </c>
      <c r="G35" s="96" t="n"/>
      <c r="H35" s="100" t="n">
        <v>1979</v>
      </c>
      <c r="I35" s="101" t="n">
        <v>19.136</v>
      </c>
      <c r="J35" s="101" t="n">
        <v>14.44</v>
      </c>
      <c r="K35" s="102" t="n">
        <v>220981</v>
      </c>
      <c r="L35" s="96" t="n"/>
      <c r="M35" s="96" t="n"/>
      <c r="N35" s="169" t="n"/>
      <c r="O35" s="169" t="n"/>
      <c r="P35" s="169" t="n"/>
      <c r="Q35" s="169" t="n"/>
      <c r="R35" s="169" t="n"/>
      <c r="S35" s="169" t="n"/>
      <c r="T35" s="169" t="n"/>
      <c r="U35" s="169" t="n"/>
      <c r="V35" s="169" t="n"/>
      <c r="W35" s="169" t="n"/>
      <c r="X35" s="169" t="n"/>
      <c r="Y35" s="85" t="n"/>
    </row>
    <row r="36">
      <c r="A36" s="83" t="n"/>
      <c r="B36" s="100" t="inlineStr">
        <is>
          <t>1980-81</t>
        </is>
      </c>
      <c r="C36" s="100" t="n">
        <v>23.634</v>
      </c>
      <c r="D36" s="98" t="n">
        <v>19.09</v>
      </c>
      <c r="E36" s="103" t="n">
        <v>267518</v>
      </c>
      <c r="F36" s="103" t="n">
        <v>267802</v>
      </c>
      <c r="G36" s="96" t="n"/>
      <c r="H36" s="100" t="n">
        <v>1980</v>
      </c>
      <c r="I36" s="101" t="n">
        <v>23.002</v>
      </c>
      <c r="J36" s="101" t="n">
        <v>20.2</v>
      </c>
      <c r="K36" s="102" t="n">
        <v>259970</v>
      </c>
      <c r="L36" s="96" t="n"/>
      <c r="M36" s="96" t="n"/>
      <c r="N36" s="169" t="n"/>
      <c r="O36" s="169" t="n"/>
      <c r="P36" s="169" t="n"/>
      <c r="Q36" s="169" t="n"/>
      <c r="R36" s="169" t="n"/>
      <c r="S36" s="169" t="n"/>
      <c r="T36" s="169" t="n"/>
      <c r="U36" s="169" t="n"/>
      <c r="V36" s="169" t="n"/>
      <c r="W36" s="169" t="n"/>
      <c r="X36" s="169" t="n"/>
      <c r="Y36" s="85" t="n"/>
    </row>
    <row r="37">
      <c r="A37" s="83" t="n"/>
      <c r="B37" s="100" t="inlineStr">
        <is>
          <t>1981-82</t>
        </is>
      </c>
      <c r="C37" s="100" t="n">
        <v>26.124</v>
      </c>
      <c r="D37" s="98" t="n">
        <v>10.54</v>
      </c>
      <c r="E37" s="103" t="n">
        <v>298261</v>
      </c>
      <c r="F37" s="103" t="n">
        <v>297709</v>
      </c>
      <c r="G37" s="96" t="n"/>
      <c r="H37" s="100" t="n">
        <v>1981</v>
      </c>
      <c r="I37" s="101" t="n">
        <v>25.836</v>
      </c>
      <c r="J37" s="101" t="n">
        <v>12.32</v>
      </c>
      <c r="K37" s="102" t="n">
        <v>290180</v>
      </c>
      <c r="L37" s="96" t="n"/>
      <c r="M37" s="96" t="n"/>
      <c r="N37" s="169" t="n"/>
      <c r="O37" s="169" t="n"/>
      <c r="P37" s="169" t="n"/>
      <c r="Q37" s="169" t="n"/>
      <c r="R37" s="169" t="n"/>
      <c r="S37" s="169" t="n"/>
      <c r="T37" s="169" t="n"/>
      <c r="U37" s="169" t="n"/>
      <c r="V37" s="169" t="n"/>
      <c r="W37" s="169" t="n"/>
      <c r="X37" s="169" t="n"/>
      <c r="Y37" s="85" t="n"/>
    </row>
    <row r="38">
      <c r="A38" s="83" t="n"/>
      <c r="B38" s="100" t="inlineStr">
        <is>
          <t>1982-83</t>
        </is>
      </c>
      <c r="C38" s="100" t="n">
        <v>28.05</v>
      </c>
      <c r="D38" s="98" t="n">
        <v>7.37</v>
      </c>
      <c r="E38" s="103" t="n">
        <v>327449</v>
      </c>
      <c r="F38" s="103" t="n">
        <v>327817</v>
      </c>
      <c r="G38" s="96" t="n"/>
      <c r="H38" s="100" t="n">
        <v>1982</v>
      </c>
      <c r="I38" s="101" t="n">
        <v>27.904</v>
      </c>
      <c r="J38" s="101" t="n">
        <v>8</v>
      </c>
      <c r="K38" s="102" t="n">
        <v>319558</v>
      </c>
      <c r="L38" s="96" t="n"/>
      <c r="M38" s="96" t="n"/>
      <c r="N38" s="169" t="n"/>
      <c r="O38" s="169" t="n"/>
      <c r="P38" s="169" t="n"/>
      <c r="Q38" s="169" t="n"/>
      <c r="R38" s="169" t="n"/>
      <c r="S38" s="169" t="n"/>
      <c r="T38" s="169" t="n"/>
      <c r="U38" s="169" t="n"/>
      <c r="V38" s="169" t="n"/>
      <c r="W38" s="169" t="n"/>
      <c r="X38" s="169" t="n"/>
      <c r="Y38" s="85" t="n"/>
    </row>
    <row r="39">
      <c r="A39" s="83" t="n"/>
      <c r="B39" s="100" t="inlineStr">
        <is>
          <t>1983-84</t>
        </is>
      </c>
      <c r="C39" s="100" t="n">
        <v>29.386</v>
      </c>
      <c r="D39" s="98" t="n">
        <v>4.76</v>
      </c>
      <c r="E39" s="103" t="n">
        <v>358062</v>
      </c>
      <c r="F39" s="103" t="n">
        <v>357283</v>
      </c>
      <c r="G39" s="96" t="n"/>
      <c r="H39" s="100" t="n">
        <v>1983</v>
      </c>
      <c r="I39" s="101" t="n">
        <v>29.452</v>
      </c>
      <c r="J39" s="101" t="n">
        <v>5.55</v>
      </c>
      <c r="K39" s="102" t="n">
        <v>351347</v>
      </c>
      <c r="L39" s="96" t="n"/>
      <c r="M39" s="96" t="n"/>
      <c r="N39" s="169" t="n"/>
      <c r="O39" s="169" t="n"/>
      <c r="P39" s="169" t="n"/>
      <c r="Q39" s="169" t="n"/>
      <c r="R39" s="169" t="n"/>
      <c r="S39" s="169" t="n"/>
      <c r="T39" s="169" t="n"/>
      <c r="U39" s="169" t="n"/>
      <c r="V39" s="169" t="n"/>
      <c r="W39" s="169" t="n"/>
      <c r="X39" s="169" t="n"/>
      <c r="Y39" s="85" t="n"/>
    </row>
    <row r="40">
      <c r="A40" s="83" t="n"/>
      <c r="B40" s="100" t="inlineStr">
        <is>
          <t>1984-85</t>
        </is>
      </c>
      <c r="C40" s="100" t="n">
        <v>31.102</v>
      </c>
      <c r="D40" s="98" t="n">
        <v>5.84</v>
      </c>
      <c r="E40" s="103" t="n">
        <v>385979</v>
      </c>
      <c r="F40" s="103" t="n">
        <v>385669</v>
      </c>
      <c r="G40" s="96" t="n"/>
      <c r="H40" s="100" t="n">
        <v>1984</v>
      </c>
      <c r="I40" s="101" t="n">
        <v>30.993</v>
      </c>
      <c r="J40" s="101" t="n">
        <v>5.23</v>
      </c>
      <c r="K40" s="102" t="n">
        <v>377920</v>
      </c>
      <c r="L40" s="96" t="n"/>
      <c r="M40" s="96" t="n"/>
      <c r="N40" s="169" t="n"/>
      <c r="O40" s="169" t="n"/>
      <c r="P40" s="169" t="n"/>
      <c r="Q40" s="169" t="n"/>
      <c r="R40" s="169" t="n"/>
      <c r="S40" s="169" t="n"/>
      <c r="T40" s="169" t="n"/>
      <c r="U40" s="169" t="n"/>
      <c r="V40" s="169" t="n"/>
      <c r="W40" s="169" t="n"/>
      <c r="X40" s="169" t="n"/>
      <c r="Y40" s="85" t="n"/>
    </row>
    <row r="41">
      <c r="A41" s="83" t="n"/>
      <c r="B41" s="100" t="inlineStr">
        <is>
          <t>1985-86</t>
        </is>
      </c>
      <c r="C41" s="100" t="n">
        <v>32.795</v>
      </c>
      <c r="D41" s="98" t="n">
        <v>5.44</v>
      </c>
      <c r="E41" s="103" t="n">
        <v>423724</v>
      </c>
      <c r="F41" s="103" t="n">
        <v>423971</v>
      </c>
      <c r="G41" s="96" t="n"/>
      <c r="H41" s="100" t="n">
        <v>1985</v>
      </c>
      <c r="I41" s="101" t="n">
        <v>32.666</v>
      </c>
      <c r="J41" s="101" t="n">
        <v>5.4</v>
      </c>
      <c r="K41" s="102" t="n">
        <v>414630</v>
      </c>
      <c r="L41" s="96" t="n"/>
      <c r="M41" s="96" t="n"/>
      <c r="N41" s="169" t="n"/>
      <c r="O41" s="169" t="n"/>
      <c r="P41" s="169" t="n"/>
      <c r="Q41" s="169" t="n"/>
      <c r="R41" s="169" t="n"/>
      <c r="S41" s="169" t="n"/>
      <c r="T41" s="169" t="n"/>
      <c r="U41" s="169" t="n"/>
      <c r="V41" s="169" t="n"/>
      <c r="W41" s="169" t="n"/>
      <c r="X41" s="169" t="n"/>
      <c r="Y41" s="85" t="n"/>
    </row>
    <row r="42">
      <c r="A42" s="83" t="n"/>
      <c r="B42" s="100" t="inlineStr">
        <is>
          <t>1986-87</t>
        </is>
      </c>
      <c r="C42" s="100" t="n">
        <v>34.124</v>
      </c>
      <c r="D42" s="98" t="n">
        <v>4.05</v>
      </c>
      <c r="E42" s="103" t="n">
        <v>455183</v>
      </c>
      <c r="F42" s="103" t="n">
        <v>455983</v>
      </c>
      <c r="G42" s="96" t="n"/>
      <c r="H42" s="100" t="n">
        <v>1986</v>
      </c>
      <c r="I42" s="101" t="n">
        <v>34.124</v>
      </c>
      <c r="J42" s="101" t="n">
        <v>4.46</v>
      </c>
      <c r="K42" s="102" t="n">
        <v>446600</v>
      </c>
      <c r="L42" s="96" t="n"/>
      <c r="M42" s="96" t="n"/>
      <c r="N42" s="169" t="n"/>
      <c r="O42" s="169" t="n"/>
      <c r="P42" s="169" t="n"/>
      <c r="Q42" s="169" t="n"/>
      <c r="R42" s="169" t="n"/>
      <c r="S42" s="169" t="n"/>
      <c r="T42" s="169" t="n"/>
      <c r="U42" s="169" t="n"/>
      <c r="V42" s="169" t="n"/>
      <c r="W42" s="169" t="n"/>
      <c r="X42" s="169" t="n"/>
      <c r="Y42" s="85" t="n"/>
    </row>
    <row r="43">
      <c r="A43" s="83" t="n"/>
      <c r="B43" s="100" t="inlineStr">
        <is>
          <t>1987-88</t>
        </is>
      </c>
      <c r="C43" s="100" t="n">
        <v>36.111</v>
      </c>
      <c r="D43" s="98" t="n">
        <v>5.83</v>
      </c>
      <c r="E43" s="103" t="n">
        <v>511512</v>
      </c>
      <c r="F43" s="103" t="n">
        <v>511956</v>
      </c>
      <c r="G43" s="96" t="n"/>
      <c r="H43" s="100" t="n">
        <v>1987</v>
      </c>
      <c r="I43" s="101" t="n">
        <v>36.002</v>
      </c>
      <c r="J43" s="101" t="n">
        <v>5.5</v>
      </c>
      <c r="K43" s="102" t="n">
        <v>496809</v>
      </c>
      <c r="L43" s="96" t="n"/>
      <c r="M43" s="96" t="n"/>
      <c r="N43" s="169" t="n"/>
      <c r="O43" s="169" t="n"/>
      <c r="P43" s="169" t="n"/>
      <c r="Q43" s="169" t="n"/>
      <c r="R43" s="169" t="n"/>
      <c r="S43" s="169" t="n"/>
      <c r="T43" s="169" t="n"/>
      <c r="U43" s="169" t="n"/>
      <c r="V43" s="169" t="n"/>
      <c r="W43" s="169" t="n"/>
      <c r="X43" s="169" t="n"/>
      <c r="Y43" s="85" t="n"/>
    </row>
    <row r="44">
      <c r="A44" s="83" t="n"/>
      <c r="B44" s="100" t="inlineStr">
        <is>
          <t>1988-89</t>
        </is>
      </c>
      <c r="C44" s="100" t="n">
        <v>38.57</v>
      </c>
      <c r="D44" s="98" t="n">
        <v>6.81</v>
      </c>
      <c r="E44" s="103" t="n">
        <v>570330</v>
      </c>
      <c r="F44" s="103" t="n">
        <v>571023</v>
      </c>
      <c r="G44" s="96" t="n"/>
      <c r="H44" s="100" t="n">
        <v>1988</v>
      </c>
      <c r="I44" s="101" t="n">
        <v>38.218</v>
      </c>
      <c r="J44" s="101" t="n">
        <v>6.16</v>
      </c>
      <c r="K44" s="102" t="n">
        <v>555683</v>
      </c>
      <c r="L44" s="96" t="n"/>
      <c r="M44" s="96" t="n"/>
      <c r="N44" s="169" t="n"/>
      <c r="O44" s="169" t="n"/>
      <c r="P44" s="169" t="n"/>
      <c r="Q44" s="169" t="n"/>
      <c r="R44" s="169" t="n"/>
      <c r="S44" s="169" t="n"/>
      <c r="T44" s="169" t="n"/>
      <c r="U44" s="169" t="n"/>
      <c r="V44" s="169" t="n"/>
      <c r="W44" s="169" t="n"/>
      <c r="X44" s="169" t="n"/>
      <c r="Y44" s="85" t="n"/>
    </row>
    <row r="45">
      <c r="A45" s="83" t="n"/>
      <c r="B45" s="100" t="inlineStr">
        <is>
          <t>1989-90</t>
        </is>
      </c>
      <c r="C45" s="100" t="n">
        <v>41.683</v>
      </c>
      <c r="D45" s="98" t="n">
        <v>8.07</v>
      </c>
      <c r="E45" s="103" t="n">
        <v>629559</v>
      </c>
      <c r="F45" s="103" t="n">
        <v>629064</v>
      </c>
      <c r="G45" s="96" t="n"/>
      <c r="H45" s="100" t="n">
        <v>1989</v>
      </c>
      <c r="I45" s="101" t="n">
        <v>41.287</v>
      </c>
      <c r="J45" s="101" t="n">
        <v>8.029999999999999</v>
      </c>
      <c r="K45" s="102" t="n">
        <v>614631</v>
      </c>
      <c r="L45" s="96" t="n"/>
      <c r="M45" s="96" t="n"/>
      <c r="N45" s="169" t="n"/>
      <c r="O45" s="169" t="n"/>
      <c r="P45" s="169" t="n"/>
      <c r="Q45" s="169" t="n"/>
      <c r="R45" s="169" t="n"/>
      <c r="S45" s="169" t="n"/>
      <c r="T45" s="169" t="n"/>
      <c r="U45" s="169" t="n"/>
      <c r="V45" s="169" t="n"/>
      <c r="W45" s="169" t="n"/>
      <c r="X45" s="169" t="n"/>
      <c r="Y45" s="85" t="n"/>
    </row>
    <row r="46">
      <c r="A46" s="83" t="n"/>
      <c r="B46" s="100" t="inlineStr">
        <is>
          <t>1990-91</t>
        </is>
      </c>
      <c r="C46" s="100" t="n">
        <v>45.184</v>
      </c>
      <c r="D46" s="98" t="n">
        <v>8.4</v>
      </c>
      <c r="E46" s="103" t="n">
        <v>679270</v>
      </c>
      <c r="F46" s="103" t="n">
        <v>680933</v>
      </c>
      <c r="G46" s="96" t="n"/>
      <c r="H46" s="100" t="n">
        <v>1990</v>
      </c>
      <c r="I46" s="101" t="n">
        <v>44.817</v>
      </c>
      <c r="J46" s="101" t="n">
        <v>8.550000000000001</v>
      </c>
      <c r="K46" s="102" t="n">
        <v>670797</v>
      </c>
      <c r="L46" s="96" t="n"/>
      <c r="M46" s="96" t="n"/>
      <c r="N46" s="169" t="n"/>
      <c r="O46" s="169" t="n"/>
      <c r="P46" s="169" t="n"/>
      <c r="Q46" s="169" t="n"/>
      <c r="R46" s="169" t="n"/>
      <c r="S46" s="169" t="n"/>
      <c r="T46" s="169" t="n"/>
      <c r="U46" s="169" t="n"/>
      <c r="V46" s="169" t="n"/>
      <c r="W46" s="169" t="n"/>
      <c r="X46" s="169" t="n"/>
      <c r="Y46" s="85" t="n"/>
    </row>
    <row r="47">
      <c r="A47" s="83" t="n"/>
      <c r="B47" s="100" t="inlineStr">
        <is>
          <t>1991-92</t>
        </is>
      </c>
      <c r="C47" s="100" t="n">
        <v>47.909</v>
      </c>
      <c r="D47" s="98" t="n">
        <v>6.03</v>
      </c>
      <c r="E47" s="103" t="n">
        <v>714363</v>
      </c>
      <c r="F47" s="103" t="n">
        <v>714130</v>
      </c>
      <c r="G47" s="96" t="n"/>
      <c r="H47" s="100" t="n">
        <v>1991</v>
      </c>
      <c r="I47" s="101" t="n">
        <v>47.828</v>
      </c>
      <c r="J47" s="101" t="n">
        <v>6.72</v>
      </c>
      <c r="K47" s="102" t="n">
        <v>705884</v>
      </c>
      <c r="L47" s="96" t="n"/>
      <c r="M47" s="96" t="n"/>
      <c r="N47" s="169" t="n"/>
      <c r="O47" s="169" t="n"/>
      <c r="P47" s="169" t="n"/>
      <c r="Q47" s="169" t="n"/>
      <c r="R47" s="169" t="n"/>
      <c r="S47" s="169" t="n"/>
      <c r="T47" s="169" t="n"/>
      <c r="U47" s="169" t="n"/>
      <c r="V47" s="169" t="n"/>
      <c r="W47" s="169" t="n"/>
      <c r="X47" s="169" t="n"/>
      <c r="Y47" s="85" t="n"/>
    </row>
    <row r="48">
      <c r="A48" s="83" t="n"/>
      <c r="B48" s="100" t="inlineStr">
        <is>
          <t>1992-93</t>
        </is>
      </c>
      <c r="C48" s="100" t="n">
        <v>49.231</v>
      </c>
      <c r="D48" s="98" t="n">
        <v>2.76</v>
      </c>
      <c r="E48" s="103" t="n">
        <v>738807</v>
      </c>
      <c r="F48" s="103" t="n">
        <v>739015</v>
      </c>
      <c r="G48" s="96" t="n"/>
      <c r="H48" s="100" t="n">
        <v>1992</v>
      </c>
      <c r="I48" s="101" t="n">
        <v>49.399</v>
      </c>
      <c r="J48" s="101" t="n">
        <v>3.28</v>
      </c>
      <c r="K48" s="102" t="n">
        <v>730874</v>
      </c>
      <c r="L48" s="96" t="n"/>
      <c r="M48" s="96" t="n"/>
      <c r="N48" s="169" t="n"/>
      <c r="O48" s="169" t="n"/>
      <c r="P48" s="169" t="n"/>
      <c r="Q48" s="169" t="n"/>
      <c r="R48" s="169" t="n"/>
      <c r="S48" s="169" t="n"/>
      <c r="T48" s="169" t="n"/>
      <c r="U48" s="169" t="n"/>
      <c r="V48" s="169" t="n"/>
      <c r="W48" s="169" t="n"/>
      <c r="X48" s="169" t="n"/>
      <c r="Y48" s="85" t="n"/>
    </row>
    <row r="49">
      <c r="A49" s="83" t="n"/>
      <c r="B49" s="100" t="inlineStr">
        <is>
          <t>1993-94</t>
        </is>
      </c>
      <c r="C49" s="100" t="n">
        <v>50.634</v>
      </c>
      <c r="D49" s="98" t="n">
        <v>2.85</v>
      </c>
      <c r="E49" s="103" t="n">
        <v>780640</v>
      </c>
      <c r="F49" s="103" t="n">
        <v>780073</v>
      </c>
      <c r="G49" s="96" t="n"/>
      <c r="H49" s="100" t="n">
        <v>1993</v>
      </c>
      <c r="I49" s="101" t="n">
        <v>50.882</v>
      </c>
      <c r="J49" s="101" t="n">
        <v>3</v>
      </c>
      <c r="K49" s="102" t="n">
        <v>769855</v>
      </c>
      <c r="L49" s="96" t="n"/>
      <c r="M49" s="96" t="n"/>
      <c r="N49" s="169" t="n"/>
      <c r="O49" s="169" t="n"/>
      <c r="P49" s="169" t="n"/>
      <c r="Q49" s="169" t="n"/>
      <c r="R49" s="169" t="n"/>
      <c r="S49" s="169" t="n"/>
      <c r="T49" s="169" t="n"/>
      <c r="U49" s="169" t="n"/>
      <c r="V49" s="169" t="n"/>
      <c r="W49" s="169" t="n"/>
      <c r="X49" s="169" t="n"/>
      <c r="Y49" s="85" t="n"/>
    </row>
    <row r="50">
      <c r="A50" s="83" t="n"/>
      <c r="B50" s="100" t="inlineStr">
        <is>
          <t>1994-95</t>
        </is>
      </c>
      <c r="C50" s="100" t="n">
        <v>51.471</v>
      </c>
      <c r="D50" s="98" t="n">
        <v>1.65</v>
      </c>
      <c r="E50" s="103" t="n">
        <v>820882</v>
      </c>
      <c r="F50" s="103" t="n">
        <v>819654</v>
      </c>
      <c r="G50" s="96" t="n"/>
      <c r="H50" s="100" t="n">
        <v>1994</v>
      </c>
      <c r="I50" s="101" t="n">
        <v>51.822</v>
      </c>
      <c r="J50" s="101" t="n">
        <v>1.85</v>
      </c>
      <c r="K50" s="102" t="n">
        <v>810794</v>
      </c>
      <c r="L50" s="96" t="n"/>
      <c r="M50" s="96" t="n"/>
      <c r="N50" s="169" t="n"/>
      <c r="O50" s="169" t="n"/>
      <c r="P50" s="169" t="n"/>
      <c r="Q50" s="169" t="n"/>
      <c r="R50" s="169" t="n"/>
      <c r="S50" s="169" t="n"/>
      <c r="T50" s="169" t="n"/>
      <c r="U50" s="169" t="n"/>
      <c r="V50" s="169" t="n"/>
      <c r="W50" s="169" t="n"/>
      <c r="X50" s="169" t="n"/>
      <c r="Y50" s="85" t="n"/>
    </row>
    <row r="51">
      <c r="A51" s="83" t="n"/>
      <c r="B51" s="100" t="inlineStr">
        <is>
          <t>1995-96</t>
        </is>
      </c>
      <c r="C51" s="100" t="n">
        <v>53.105</v>
      </c>
      <c r="D51" s="98" t="n">
        <v>3.17</v>
      </c>
      <c r="E51" s="103" t="n">
        <v>863062</v>
      </c>
      <c r="F51" s="103" t="n">
        <v>864621</v>
      </c>
      <c r="G51" s="96" t="n"/>
      <c r="H51" s="100" t="n">
        <v>1995</v>
      </c>
      <c r="I51" s="101" t="n">
        <v>53.175</v>
      </c>
      <c r="J51" s="101" t="n">
        <v>2.61</v>
      </c>
      <c r="K51" s="102" t="n">
        <v>851845</v>
      </c>
      <c r="L51" s="96" t="n"/>
      <c r="M51" s="96" t="n"/>
      <c r="N51" s="169" t="n"/>
      <c r="O51" s="169" t="n"/>
      <c r="P51" s="169" t="n"/>
      <c r="Q51" s="169" t="n"/>
      <c r="R51" s="169" t="n"/>
      <c r="S51" s="169" t="n"/>
      <c r="T51" s="169" t="n"/>
      <c r="U51" s="169" t="n"/>
      <c r="V51" s="169" t="n"/>
      <c r="W51" s="169" t="n"/>
      <c r="X51" s="169" t="n"/>
      <c r="Y51" s="85" t="n"/>
    </row>
    <row r="52">
      <c r="A52" s="83" t="n"/>
      <c r="B52" s="100" t="inlineStr">
        <is>
          <t>1996-97</t>
        </is>
      </c>
      <c r="C52" s="100" t="n">
        <v>54.902</v>
      </c>
      <c r="D52" s="98" t="n">
        <v>3.39</v>
      </c>
      <c r="E52" s="103" t="n">
        <v>922997</v>
      </c>
      <c r="F52" s="103" t="n">
        <v>921289</v>
      </c>
      <c r="G52" s="96" t="n"/>
      <c r="H52" s="100" t="n">
        <v>1996</v>
      </c>
      <c r="I52" s="101" t="n">
        <v>55.375</v>
      </c>
      <c r="J52" s="101" t="n">
        <v>4.14</v>
      </c>
      <c r="K52" s="102" t="n">
        <v>909993</v>
      </c>
      <c r="L52" s="96" t="n"/>
      <c r="M52" s="96" t="n"/>
      <c r="N52" s="169" t="n"/>
      <c r="O52" s="169" t="n"/>
      <c r="P52" s="169" t="n"/>
      <c r="Q52" s="169" t="n"/>
      <c r="R52" s="169" t="n"/>
      <c r="S52" s="169" t="n"/>
      <c r="T52" s="169" t="n"/>
      <c r="U52" s="169" t="n"/>
      <c r="V52" s="169" t="n"/>
      <c r="W52" s="169" t="n"/>
      <c r="X52" s="169" t="n"/>
      <c r="Y52" s="85" t="n"/>
    </row>
    <row r="53">
      <c r="A53" s="83" t="n"/>
      <c r="B53" s="100" t="inlineStr">
        <is>
          <t>1997-98</t>
        </is>
      </c>
      <c r="C53" s="100" t="n">
        <v>54.893</v>
      </c>
      <c r="D53" s="98" t="n">
        <v>-0.02</v>
      </c>
      <c r="E53" s="103" t="n">
        <v>964687</v>
      </c>
      <c r="F53" s="103" t="n">
        <v>966520</v>
      </c>
      <c r="G53" s="96" t="n"/>
      <c r="H53" s="100" t="n">
        <v>1997</v>
      </c>
      <c r="I53" s="101" t="n">
        <v>55.296</v>
      </c>
      <c r="J53" s="101" t="n">
        <v>-0.14</v>
      </c>
      <c r="K53" s="102" t="n">
        <v>953405</v>
      </c>
      <c r="L53" s="96" t="n"/>
      <c r="M53" s="96" t="n"/>
      <c r="N53" s="169" t="n"/>
      <c r="O53" s="169" t="n"/>
      <c r="P53" s="169" t="n"/>
      <c r="Q53" s="169" t="n"/>
      <c r="R53" s="169" t="n"/>
      <c r="S53" s="169" t="n"/>
      <c r="T53" s="169" t="n"/>
      <c r="U53" s="169" t="n"/>
      <c r="V53" s="169" t="n"/>
      <c r="W53" s="169" t="n"/>
      <c r="X53" s="169" t="n"/>
      <c r="Y53" s="85" t="n"/>
    </row>
    <row r="54">
      <c r="A54" s="83" t="n"/>
      <c r="B54" s="100" t="inlineStr">
        <is>
          <t>1998-99</t>
        </is>
      </c>
      <c r="C54" s="100" t="n">
        <v>55.643</v>
      </c>
      <c r="D54" s="98" t="n">
        <v>1.37</v>
      </c>
      <c r="E54" s="103" t="n">
        <v>1010042</v>
      </c>
      <c r="F54" s="103" t="n">
        <v>1008430</v>
      </c>
      <c r="G54" s="96" t="n"/>
      <c r="H54" s="100" t="n">
        <v>1998</v>
      </c>
      <c r="I54" s="101" t="n">
        <v>55.998</v>
      </c>
      <c r="J54" s="101" t="n">
        <v>1.27</v>
      </c>
      <c r="K54" s="102" t="n">
        <v>998501</v>
      </c>
      <c r="L54" s="96" t="n"/>
      <c r="M54" s="96" t="n"/>
      <c r="N54" s="169" t="n"/>
      <c r="O54" s="169" t="n"/>
      <c r="P54" s="169" t="n"/>
      <c r="Q54" s="169" t="n"/>
      <c r="R54" s="169" t="n"/>
      <c r="S54" s="169" t="n"/>
      <c r="T54" s="169" t="n"/>
      <c r="U54" s="169" t="n"/>
      <c r="V54" s="169" t="n"/>
      <c r="W54" s="169" t="n"/>
      <c r="X54" s="169" t="n"/>
      <c r="Y54" s="85" t="n"/>
    </row>
    <row r="55">
      <c r="A55" s="83" t="n"/>
      <c r="B55" s="100" t="inlineStr">
        <is>
          <t>1999-00</t>
        </is>
      </c>
      <c r="C55" s="100" t="n">
        <v>56.386</v>
      </c>
      <c r="D55" s="98" t="n">
        <v>1.33</v>
      </c>
      <c r="E55" s="103" t="n">
        <v>1058069</v>
      </c>
      <c r="F55" s="103" t="n">
        <v>1059608</v>
      </c>
      <c r="G55" s="96" t="n"/>
      <c r="H55" s="100" t="n">
        <v>1999</v>
      </c>
      <c r="I55" s="101" t="n">
        <v>56.767</v>
      </c>
      <c r="J55" s="101" t="n">
        <v>1.37</v>
      </c>
      <c r="K55" s="102" t="n">
        <v>1043248</v>
      </c>
      <c r="L55" s="96" t="n"/>
      <c r="M55" s="96" t="n"/>
      <c r="N55" s="169" t="n"/>
      <c r="O55" s="169" t="n"/>
      <c r="P55" s="169" t="n"/>
      <c r="Q55" s="169" t="n"/>
      <c r="R55" s="169" t="n"/>
      <c r="S55" s="169" t="n"/>
      <c r="T55" s="169" t="n"/>
      <c r="U55" s="169" t="n"/>
      <c r="V55" s="169" t="n"/>
      <c r="W55" s="169" t="n"/>
      <c r="X55" s="169" t="n"/>
      <c r="Y55" s="85" t="n"/>
    </row>
    <row r="56">
      <c r="A56" s="83" t="n"/>
      <c r="B56" s="104" t="n">
        <v>36526</v>
      </c>
      <c r="C56" s="100" t="n">
        <v>56.961</v>
      </c>
      <c r="D56" s="98" t="n">
        <v>1.02</v>
      </c>
      <c r="E56" s="103" t="n">
        <v>1114639</v>
      </c>
      <c r="F56" s="103" t="n">
        <v>1111547</v>
      </c>
      <c r="G56" s="96" t="n"/>
      <c r="H56" s="100" t="n">
        <v>2000</v>
      </c>
      <c r="I56" s="101" t="n">
        <v>57.418</v>
      </c>
      <c r="J56" s="101" t="n">
        <v>1.15</v>
      </c>
      <c r="K56" s="102" t="n">
        <v>1100752</v>
      </c>
      <c r="L56" s="96" t="n"/>
      <c r="M56" s="96" t="n"/>
      <c r="N56" s="169" t="n"/>
      <c r="O56" s="169" t="n"/>
      <c r="P56" s="169" t="n"/>
      <c r="Q56" s="169" t="n"/>
      <c r="R56" s="169" t="n"/>
      <c r="S56" s="169" t="n"/>
      <c r="T56" s="169" t="n"/>
      <c r="U56" s="169" t="n"/>
      <c r="V56" s="169" t="n"/>
      <c r="W56" s="169" t="n"/>
      <c r="X56" s="169" t="n"/>
      <c r="Y56" s="85" t="n"/>
    </row>
    <row r="57">
      <c r="A57" s="83" t="n"/>
      <c r="B57" s="104" t="n">
        <v>36923</v>
      </c>
      <c r="C57" s="100" t="n">
        <v>57.928</v>
      </c>
      <c r="D57" s="98" t="n">
        <v>1.7</v>
      </c>
      <c r="E57" s="103" t="n">
        <v>1152363</v>
      </c>
      <c r="F57" s="103" t="n">
        <v>1155639</v>
      </c>
      <c r="G57" s="96" t="n"/>
      <c r="H57" s="100" t="n">
        <v>2001</v>
      </c>
      <c r="I57" s="101" t="n">
        <v>58.283</v>
      </c>
      <c r="J57" s="101" t="n">
        <v>1.51</v>
      </c>
      <c r="K57" s="102" t="n">
        <v>1146135</v>
      </c>
      <c r="L57" s="96" t="n"/>
      <c r="M57" s="96" t="n"/>
      <c r="N57" s="169" t="n"/>
      <c r="O57" s="169" t="n"/>
      <c r="P57" s="169" t="n"/>
      <c r="Q57" s="169" t="n"/>
      <c r="R57" s="169" t="n"/>
      <c r="S57" s="169" t="n"/>
      <c r="T57" s="169" t="n"/>
      <c r="U57" s="169" t="n"/>
      <c r="V57" s="169" t="n"/>
      <c r="W57" s="169" t="n"/>
      <c r="X57" s="169" t="n"/>
      <c r="Y57" s="85" t="n"/>
    </row>
    <row r="58">
      <c r="A58" s="83" t="n"/>
      <c r="B58" s="104" t="n">
        <v>37316</v>
      </c>
      <c r="C58" s="100" t="n">
        <v>59.244</v>
      </c>
      <c r="D58" s="98" t="n">
        <v>2.27</v>
      </c>
      <c r="E58" s="103" t="n">
        <v>1208864</v>
      </c>
      <c r="F58" s="103" t="n">
        <v>1206462</v>
      </c>
      <c r="G58" s="96" t="n"/>
      <c r="H58" s="100" t="n">
        <v>2002</v>
      </c>
      <c r="I58" s="101" t="n">
        <v>59.517</v>
      </c>
      <c r="J58" s="101" t="n">
        <v>2.12</v>
      </c>
      <c r="K58" s="102" t="n">
        <v>1191439</v>
      </c>
      <c r="L58" s="96" t="n"/>
      <c r="M58" s="96" t="n"/>
      <c r="N58" s="169" t="n"/>
      <c r="O58" s="169" t="n"/>
      <c r="P58" s="169" t="n"/>
      <c r="Q58" s="169" t="n"/>
      <c r="R58" s="169" t="n"/>
      <c r="S58" s="169" t="n"/>
      <c r="T58" s="169" t="n"/>
      <c r="U58" s="169" t="n"/>
      <c r="V58" s="169" t="n"/>
      <c r="W58" s="169" t="n"/>
      <c r="X58" s="169" t="n"/>
      <c r="Y58" s="85" t="n"/>
    </row>
    <row r="59">
      <c r="A59" s="83" t="n"/>
      <c r="B59" s="104" t="n">
        <v>37712</v>
      </c>
      <c r="C59" s="100" t="n">
        <v>60.591</v>
      </c>
      <c r="D59" s="98" t="n">
        <v>2.27</v>
      </c>
      <c r="E59" s="103" t="n">
        <v>1272601</v>
      </c>
      <c r="F59" s="103" t="n">
        <v>1273669</v>
      </c>
      <c r="G59" s="96" t="n"/>
      <c r="H59" s="100" t="n">
        <v>2003</v>
      </c>
      <c r="I59" s="101" t="n">
        <v>60.941</v>
      </c>
      <c r="J59" s="101" t="n">
        <v>2.39</v>
      </c>
      <c r="K59" s="102" t="n">
        <v>1258334</v>
      </c>
      <c r="L59" s="96" t="n"/>
      <c r="M59" s="96" t="n"/>
      <c r="N59" s="169" t="n"/>
      <c r="O59" s="169" t="n"/>
      <c r="P59" s="169" t="n"/>
      <c r="Q59" s="169" t="n"/>
      <c r="R59" s="169" t="n"/>
      <c r="S59" s="169" t="n"/>
      <c r="T59" s="169" t="n"/>
      <c r="U59" s="169" t="n"/>
      <c r="V59" s="169" t="n"/>
      <c r="W59" s="169" t="n"/>
      <c r="X59" s="169" t="n"/>
      <c r="Y59" s="85" t="n"/>
    </row>
    <row r="60">
      <c r="A60" s="83" t="n"/>
      <c r="B60" s="104" t="n">
        <v>38108</v>
      </c>
      <c r="C60" s="100" t="n">
        <v>62.411</v>
      </c>
      <c r="D60" s="98" t="n">
        <v>3</v>
      </c>
      <c r="E60" s="103" t="n">
        <v>1342153</v>
      </c>
      <c r="F60" s="103" t="n">
        <v>1341238</v>
      </c>
      <c r="G60" s="96" t="n"/>
      <c r="H60" s="100" t="n">
        <v>2004</v>
      </c>
      <c r="I60" s="101" t="n">
        <v>62.537</v>
      </c>
      <c r="J60" s="101" t="n">
        <v>2.62</v>
      </c>
      <c r="K60" s="102" t="n">
        <v>1322637</v>
      </c>
      <c r="L60" s="96" t="n"/>
      <c r="M60" s="96" t="n"/>
      <c r="N60" s="169" t="n"/>
      <c r="O60" s="169" t="n"/>
      <c r="P60" s="169" t="n"/>
      <c r="Q60" s="169" t="n"/>
      <c r="R60" s="169" t="n"/>
      <c r="S60" s="169" t="n"/>
      <c r="T60" s="169" t="n"/>
      <c r="U60" s="169" t="n"/>
      <c r="V60" s="169" t="n"/>
      <c r="W60" s="169" t="n"/>
      <c r="X60" s="169" t="n"/>
      <c r="Y60" s="85" t="n"/>
    </row>
    <row r="61">
      <c r="A61" s="83" t="n"/>
      <c r="B61" s="104" t="n">
        <v>38504</v>
      </c>
      <c r="C61" s="100" t="n">
        <v>64.119</v>
      </c>
      <c r="D61" s="98" t="n">
        <v>2.74</v>
      </c>
      <c r="E61" s="103" t="n">
        <v>1418417</v>
      </c>
      <c r="F61" s="103" t="n">
        <v>1418626</v>
      </c>
      <c r="G61" s="96" t="n"/>
      <c r="H61" s="100" t="n">
        <v>2005</v>
      </c>
      <c r="I61" s="101" t="n">
        <v>64.373</v>
      </c>
      <c r="J61" s="101" t="n">
        <v>2.94</v>
      </c>
      <c r="K61" s="102" t="n">
        <v>1398749</v>
      </c>
      <c r="L61" s="96" t="n"/>
      <c r="M61" s="96" t="n"/>
      <c r="N61" s="169" t="n"/>
      <c r="O61" s="169" t="n"/>
      <c r="P61" s="169" t="n"/>
      <c r="Q61" s="169" t="n"/>
      <c r="R61" s="169" t="n"/>
      <c r="S61" s="169" t="n"/>
      <c r="T61" s="169" t="n"/>
      <c r="U61" s="169" t="n"/>
      <c r="V61" s="169" t="n"/>
      <c r="W61" s="169" t="n"/>
      <c r="X61" s="169" t="n"/>
      <c r="Y61" s="85" t="n"/>
    </row>
    <row r="62">
      <c r="A62" s="83" t="n"/>
      <c r="B62" s="104" t="n">
        <v>38899</v>
      </c>
      <c r="C62" s="100" t="n">
        <v>65.833</v>
      </c>
      <c r="D62" s="98" t="n">
        <v>2.67</v>
      </c>
      <c r="E62" s="103" t="n">
        <v>1486255</v>
      </c>
      <c r="F62" s="103" t="n">
        <v>1487819</v>
      </c>
      <c r="G62" s="96" t="n"/>
      <c r="H62" s="100" t="n">
        <v>2006</v>
      </c>
      <c r="I62" s="101" t="n">
        <v>66.169</v>
      </c>
      <c r="J62" s="101" t="n">
        <v>2.79</v>
      </c>
      <c r="K62" s="102" t="n">
        <v>1472038</v>
      </c>
      <c r="L62" s="96" t="n"/>
      <c r="M62" s="96" t="n"/>
      <c r="N62" s="169" t="n"/>
      <c r="O62" s="169" t="n"/>
      <c r="P62" s="169" t="n"/>
      <c r="Q62" s="169" t="n"/>
      <c r="R62" s="169" t="n"/>
      <c r="S62" s="169" t="n"/>
      <c r="T62" s="169" t="n"/>
      <c r="U62" s="169" t="n"/>
      <c r="V62" s="169" t="n"/>
      <c r="W62" s="169" t="n"/>
      <c r="X62" s="169" t="n"/>
      <c r="Y62" s="85" t="n"/>
    </row>
    <row r="63">
      <c r="A63" s="83" t="n"/>
      <c r="B63" s="104" t="n">
        <v>39295</v>
      </c>
      <c r="C63" s="100" t="n">
        <v>67.426</v>
      </c>
      <c r="D63" s="98" t="n">
        <v>2.42</v>
      </c>
      <c r="E63" s="103" t="n">
        <v>1565822</v>
      </c>
      <c r="F63" s="103" t="n">
        <v>1565136</v>
      </c>
      <c r="G63" s="96" t="n"/>
      <c r="H63" s="100" t="n">
        <v>2007</v>
      </c>
      <c r="I63" s="101" t="n">
        <v>67.658</v>
      </c>
      <c r="J63" s="101" t="n">
        <v>2.25</v>
      </c>
      <c r="K63" s="102" t="n">
        <v>1544637</v>
      </c>
      <c r="L63" s="96" t="n"/>
      <c r="M63" s="96" t="n"/>
      <c r="N63" s="169" t="n"/>
      <c r="O63" s="169" t="n"/>
      <c r="P63" s="169" t="n"/>
      <c r="Q63" s="169" t="n"/>
      <c r="R63" s="169" t="n"/>
      <c r="S63" s="169" t="n"/>
      <c r="T63" s="169" t="n"/>
      <c r="U63" s="169" t="n"/>
      <c r="V63" s="169" t="n"/>
      <c r="W63" s="169" t="n"/>
      <c r="X63" s="169" t="n"/>
      <c r="Y63" s="85" t="n"/>
    </row>
    <row r="64">
      <c r="A64" s="83" t="n"/>
      <c r="B64" s="104" t="n">
        <v>39692</v>
      </c>
      <c r="C64" s="100" t="n">
        <v>69.854</v>
      </c>
      <c r="D64" s="98" t="n">
        <v>3.6</v>
      </c>
      <c r="E64" s="103" t="n">
        <v>1582979</v>
      </c>
      <c r="F64" s="103" t="n">
        <v>1582791</v>
      </c>
      <c r="G64" s="96" t="n"/>
      <c r="H64" s="100" t="n">
        <v>2008</v>
      </c>
      <c r="I64" s="101" t="n">
        <v>69.979</v>
      </c>
      <c r="J64" s="101" t="n">
        <v>3.43</v>
      </c>
      <c r="K64" s="102" t="n">
        <v>1593600</v>
      </c>
      <c r="L64" s="96" t="n"/>
      <c r="M64" s="96" t="n"/>
      <c r="N64" s="169" t="n"/>
      <c r="O64" s="169" t="n"/>
      <c r="P64" s="169" t="n"/>
      <c r="Q64" s="169" t="n"/>
      <c r="R64" s="169" t="n"/>
      <c r="S64" s="169" t="n"/>
      <c r="T64" s="169" t="n"/>
      <c r="U64" s="169" t="n"/>
      <c r="V64" s="169" t="n"/>
      <c r="W64" s="169" t="n"/>
      <c r="X64" s="169" t="n"/>
      <c r="Y64" s="85" t="n"/>
    </row>
    <row r="65">
      <c r="A65" s="83" t="n"/>
      <c r="B65" s="105" t="n">
        <v>40087</v>
      </c>
      <c r="C65" s="100" t="n">
        <v>70.79900000000001</v>
      </c>
      <c r="D65" s="98" t="n">
        <v>1.35</v>
      </c>
      <c r="E65" s="103" t="n">
        <v>1557028</v>
      </c>
      <c r="F65" s="103" t="n">
        <v>1558176</v>
      </c>
      <c r="G65" s="96" t="n"/>
      <c r="H65" s="100" t="n">
        <v>2009</v>
      </c>
      <c r="I65" s="101" t="n">
        <v>71.288</v>
      </c>
      <c r="J65" s="101" t="n">
        <v>1.87</v>
      </c>
      <c r="K65" s="102" t="n">
        <v>1548802</v>
      </c>
      <c r="L65" s="169" t="n"/>
      <c r="M65" s="96" t="n"/>
      <c r="N65" s="169" t="n"/>
      <c r="O65" s="169" t="n"/>
      <c r="P65" s="169" t="n"/>
      <c r="Q65" s="169" t="n"/>
      <c r="R65" s="169" t="n"/>
      <c r="S65" s="169" t="n"/>
      <c r="T65" s="169" t="n"/>
      <c r="U65" s="169" t="n"/>
      <c r="V65" s="169" t="n"/>
      <c r="W65" s="169" t="n"/>
      <c r="X65" s="169" t="n"/>
      <c r="Y65" s="85" t="n"/>
    </row>
    <row r="66">
      <c r="A66" s="83" t="n"/>
      <c r="B66" s="105" t="n">
        <v>40483</v>
      </c>
      <c r="C66" s="100" t="n">
        <v>72.133</v>
      </c>
      <c r="D66" s="98" t="n">
        <v>1.88</v>
      </c>
      <c r="E66" s="103" t="n">
        <v>1627823</v>
      </c>
      <c r="F66" s="103" t="n">
        <v>1627172</v>
      </c>
      <c r="G66" s="96" t="n"/>
      <c r="H66" s="100" t="n">
        <v>2010</v>
      </c>
      <c r="I66" s="101" t="n">
        <v>72.41500000000001</v>
      </c>
      <c r="J66" s="101" t="n">
        <v>1.58</v>
      </c>
      <c r="K66" s="102" t="n">
        <v>1608553</v>
      </c>
      <c r="L66" s="169" t="n"/>
      <c r="M66" s="96" t="n"/>
      <c r="N66" s="169" t="n"/>
      <c r="O66" s="169" t="n"/>
      <c r="P66" s="169" t="n"/>
      <c r="Q66" s="169" t="n"/>
      <c r="R66" s="169" t="n"/>
      <c r="S66" s="169" t="n"/>
      <c r="T66" s="169" t="n"/>
      <c r="U66" s="169" t="n"/>
      <c r="V66" s="169" t="n"/>
      <c r="W66" s="169" t="n"/>
      <c r="X66" s="169" t="n"/>
      <c r="Y66" s="85" t="n"/>
    </row>
    <row r="67">
      <c r="A67" s="83" t="n"/>
      <c r="B67" s="105" t="n">
        <v>40878</v>
      </c>
      <c r="C67" s="100" t="n">
        <v>73.405</v>
      </c>
      <c r="D67" s="98" t="n">
        <v>1.76</v>
      </c>
      <c r="E67" s="103" t="n">
        <v>1673244</v>
      </c>
      <c r="F67" s="103" t="n">
        <v>1672562</v>
      </c>
      <c r="G67" s="96" t="n"/>
      <c r="H67" s="100" t="n">
        <v>2011</v>
      </c>
      <c r="I67" s="101" t="n">
        <v>74.001</v>
      </c>
      <c r="J67" s="101" t="n">
        <v>2.19</v>
      </c>
      <c r="K67" s="102" t="n">
        <v>1662590</v>
      </c>
      <c r="L67" s="169" t="n"/>
      <c r="M67" s="96" t="n"/>
      <c r="N67" s="169" t="n"/>
      <c r="O67" s="169" t="n"/>
      <c r="P67" s="169" t="n"/>
      <c r="Q67" s="169" t="n"/>
      <c r="R67" s="169" t="n"/>
      <c r="S67" s="169" t="n"/>
      <c r="T67" s="169" t="n"/>
      <c r="U67" s="169" t="n"/>
      <c r="V67" s="169" t="n"/>
      <c r="W67" s="169" t="n"/>
      <c r="X67" s="169" t="n"/>
      <c r="Y67" s="85" t="n"/>
    </row>
    <row r="68">
      <c r="A68" s="83" t="n"/>
      <c r="B68" s="100" t="inlineStr">
        <is>
          <t>2012-13</t>
        </is>
      </c>
      <c r="C68" s="100" t="n">
        <v>74.752</v>
      </c>
      <c r="D68" s="98" t="n">
        <v>1.84</v>
      </c>
      <c r="E68" s="103" t="n">
        <v>1725339</v>
      </c>
      <c r="F68" s="103" t="n">
        <v>1727114</v>
      </c>
      <c r="G68" s="96" t="n"/>
      <c r="H68" s="100" t="n">
        <v>2012</v>
      </c>
      <c r="I68" s="101" t="n">
        <v>75.139</v>
      </c>
      <c r="J68" s="101" t="n">
        <v>1.54</v>
      </c>
      <c r="K68" s="102" t="n">
        <v>1713715</v>
      </c>
      <c r="L68" s="169" t="n"/>
      <c r="M68" s="96" t="n"/>
      <c r="N68" s="169" t="n"/>
      <c r="O68" s="169" t="n"/>
      <c r="P68" s="169" t="n"/>
      <c r="Q68" s="169" t="n"/>
      <c r="R68" s="169" t="n"/>
      <c r="S68" s="169" t="n"/>
      <c r="T68" s="169" t="n"/>
      <c r="U68" s="169" t="n"/>
      <c r="V68" s="169" t="n"/>
      <c r="W68" s="169" t="n"/>
      <c r="X68" s="169" t="n"/>
      <c r="Y68" s="85" t="n"/>
    </row>
    <row r="69">
      <c r="A69" s="83" t="n"/>
      <c r="B69" s="100" t="inlineStr">
        <is>
          <t>2013-14</t>
        </is>
      </c>
      <c r="C69" s="100" t="n">
        <v>76.18899999999999</v>
      </c>
      <c r="D69" s="98" t="n">
        <v>1.92</v>
      </c>
      <c r="E69" s="103" t="n">
        <v>1803853</v>
      </c>
      <c r="F69" s="103" t="n">
        <v>1801250</v>
      </c>
      <c r="G69" s="96" t="n"/>
      <c r="H69" s="100" t="n">
        <v>2013</v>
      </c>
      <c r="I69" s="101" t="n">
        <v>76.729</v>
      </c>
      <c r="J69" s="101" t="n">
        <v>2.12</v>
      </c>
      <c r="K69" s="102" t="n">
        <v>1781361</v>
      </c>
      <c r="L69" s="169" t="n"/>
      <c r="M69" s="96" t="n"/>
      <c r="N69" s="169" t="n"/>
      <c r="O69" s="169" t="n"/>
      <c r="P69" s="169" t="n"/>
      <c r="Q69" s="169" t="n"/>
      <c r="R69" s="169" t="n"/>
      <c r="S69" s="169" t="n"/>
      <c r="T69" s="169" t="n"/>
      <c r="U69" s="169" t="n"/>
      <c r="V69" s="169" t="n"/>
      <c r="W69" s="169" t="n"/>
      <c r="X69" s="169" t="n"/>
      <c r="Y69" s="85" t="n"/>
    </row>
    <row r="70">
      <c r="A70" s="83" t="n"/>
      <c r="B70" s="100" t="inlineStr">
        <is>
          <t>2014-15</t>
        </is>
      </c>
      <c r="C70" s="100" t="n">
        <v>77.116</v>
      </c>
      <c r="D70" s="98" t="n">
        <v>1.22</v>
      </c>
      <c r="E70" s="103" t="n">
        <v>1875404</v>
      </c>
      <c r="F70" s="103" t="n">
        <v>1879260</v>
      </c>
      <c r="G70" s="96" t="n"/>
      <c r="H70" s="100" t="n">
        <v>2014</v>
      </c>
      <c r="I70" s="101" t="n">
        <v>77.73999999999999</v>
      </c>
      <c r="J70" s="101" t="n">
        <v>1.32</v>
      </c>
      <c r="K70" s="102" t="n">
        <v>1862514</v>
      </c>
      <c r="L70" s="169" t="n"/>
      <c r="M70" s="96" t="n"/>
      <c r="N70" s="169" t="n"/>
      <c r="O70" s="169" t="n"/>
      <c r="P70" s="169" t="n"/>
      <c r="Q70" s="169" t="n"/>
      <c r="R70" s="169" t="n"/>
      <c r="S70" s="169" t="n"/>
      <c r="T70" s="169" t="n"/>
      <c r="U70" s="169" t="n"/>
      <c r="V70" s="169" t="n"/>
      <c r="W70" s="169" t="n"/>
      <c r="X70" s="169" t="n"/>
      <c r="Y70" s="85" t="n"/>
    </row>
    <row r="71">
      <c r="A71" s="83" t="n"/>
      <c r="B71" s="100" t="inlineStr">
        <is>
          <t>2015-16</t>
        </is>
      </c>
      <c r="C71" s="100" t="n">
        <v>77.67100000000001</v>
      </c>
      <c r="D71" s="98" t="n">
        <v>0.72</v>
      </c>
      <c r="E71" s="103" t="n">
        <v>1932100</v>
      </c>
      <c r="F71" s="103" t="n">
        <v>1931443</v>
      </c>
      <c r="G71" s="169" t="n"/>
      <c r="H71" s="100" t="n">
        <v>2015</v>
      </c>
      <c r="I71" s="101" t="n">
        <v>78.255</v>
      </c>
      <c r="J71" s="101" t="n">
        <v>0.66</v>
      </c>
      <c r="K71" s="102" t="n">
        <v>1916451</v>
      </c>
      <c r="L71" s="169" t="n"/>
      <c r="M71" s="96" t="n"/>
      <c r="N71" s="169" t="n"/>
      <c r="O71" s="169" t="n"/>
      <c r="P71" s="169" t="n"/>
      <c r="Q71" s="169" t="n"/>
      <c r="R71" s="169" t="n"/>
      <c r="S71" s="169" t="n"/>
      <c r="T71" s="169" t="n"/>
      <c r="U71" s="169" t="n"/>
      <c r="V71" s="169" t="n"/>
      <c r="W71" s="169" t="n"/>
      <c r="X71" s="169" t="n"/>
      <c r="Y71" s="85" t="n"/>
    </row>
    <row r="72">
      <c r="A72" s="83" t="n"/>
      <c r="B72" s="100" t="inlineStr">
        <is>
          <t>2016-17</t>
        </is>
      </c>
      <c r="C72" s="100" t="n">
        <v>79.438</v>
      </c>
      <c r="D72" s="101" t="n">
        <v>2.27</v>
      </c>
      <c r="E72" s="103" t="n">
        <v>2013605</v>
      </c>
      <c r="F72" s="103" t="n">
        <v>2015841</v>
      </c>
      <c r="G72" s="169" t="n"/>
      <c r="H72" s="100" t="n">
        <v>2016</v>
      </c>
      <c r="I72" s="101" t="n">
        <v>79.791</v>
      </c>
      <c r="J72" s="101" t="n">
        <v>1.96</v>
      </c>
      <c r="K72" s="102" t="n">
        <v>1991645</v>
      </c>
      <c r="L72" s="169" t="n"/>
      <c r="M72" s="96" t="n"/>
      <c r="N72" s="169" t="n"/>
      <c r="O72" s="169" t="n"/>
      <c r="P72" s="169" t="n"/>
      <c r="Q72" s="169" t="n"/>
      <c r="R72" s="169" t="n"/>
      <c r="S72" s="169" t="n"/>
      <c r="T72" s="169" t="n"/>
      <c r="U72" s="169" t="n"/>
      <c r="V72" s="169" t="n"/>
      <c r="W72" s="169" t="n"/>
      <c r="X72" s="169" t="n"/>
      <c r="Y72" s="85" t="n"/>
    </row>
    <row r="73">
      <c r="A73" s="83" t="n"/>
      <c r="B73" s="100" t="inlineStr">
        <is>
          <t>2017-18</t>
        </is>
      </c>
      <c r="C73" s="100" t="n">
        <v>80.682</v>
      </c>
      <c r="D73" s="101" t="n">
        <v>1.57</v>
      </c>
      <c r="E73" s="103" t="n">
        <v>2098808</v>
      </c>
      <c r="F73" s="103" t="n">
        <v>2099822</v>
      </c>
      <c r="G73" s="169" t="n"/>
      <c r="H73" s="100" t="n">
        <v>2017</v>
      </c>
      <c r="I73" s="101" t="n">
        <v>81.273</v>
      </c>
      <c r="J73" s="101" t="n">
        <v>1.86</v>
      </c>
      <c r="K73" s="102" t="n">
        <v>2082482</v>
      </c>
      <c r="L73" s="169" t="n"/>
      <c r="M73" s="96" t="n"/>
      <c r="N73" s="169" t="n"/>
      <c r="O73" s="169" t="n"/>
      <c r="P73" s="169" t="n"/>
      <c r="Q73" s="169" t="n"/>
      <c r="R73" s="169" t="n"/>
      <c r="S73" s="169" t="n"/>
      <c r="T73" s="169" t="n"/>
      <c r="U73" s="169" t="n"/>
      <c r="V73" s="169" t="n"/>
      <c r="W73" s="169" t="n"/>
      <c r="X73" s="169" t="n"/>
      <c r="Y73" s="85" t="n"/>
    </row>
    <row r="74">
      <c r="A74" s="83" t="n"/>
      <c r="B74" s="100" t="inlineStr">
        <is>
          <t>2018-19</t>
        </is>
      </c>
      <c r="C74" s="100" t="n">
        <v>82.384</v>
      </c>
      <c r="D74" s="101" t="n">
        <v>2.11</v>
      </c>
      <c r="E74" s="103" t="n">
        <v>2173677</v>
      </c>
      <c r="F74" s="103" t="n">
        <v>2170432</v>
      </c>
      <c r="G74" s="169" t="n"/>
      <c r="H74" s="100" t="n">
        <v>2018</v>
      </c>
      <c r="I74" s="101" t="n">
        <v>82.836</v>
      </c>
      <c r="J74" s="101" t="n">
        <v>1.92</v>
      </c>
      <c r="K74" s="102" t="n">
        <v>2152304</v>
      </c>
      <c r="L74" s="169" t="n"/>
      <c r="M74" s="96" t="n"/>
      <c r="N74" s="169" t="n"/>
      <c r="O74" s="169" t="n"/>
      <c r="P74" s="169" t="n"/>
      <c r="Q74" s="169" t="n"/>
      <c r="R74" s="169" t="n"/>
      <c r="S74" s="169" t="n"/>
      <c r="T74" s="169" t="n"/>
      <c r="U74" s="169" t="n"/>
      <c r="V74" s="169" t="n"/>
      <c r="W74" s="169" t="n"/>
      <c r="X74" s="169" t="n"/>
      <c r="Y74" s="85" t="n"/>
    </row>
    <row r="75">
      <c r="A75" s="83" t="n"/>
      <c r="B75" s="100" t="inlineStr">
        <is>
          <t>2019-20</t>
        </is>
      </c>
      <c r="C75" s="100" t="n">
        <v>84.32899999999999</v>
      </c>
      <c r="D75" s="101" t="n">
        <v>2.36</v>
      </c>
      <c r="E75" s="103" t="n">
        <v>2244509</v>
      </c>
      <c r="F75" s="103" t="n">
        <v>2240706</v>
      </c>
      <c r="G75" s="169" t="n"/>
      <c r="H75" s="100" t="n">
        <v>2019</v>
      </c>
      <c r="I75" s="101" t="n">
        <v>84.58799999999999</v>
      </c>
      <c r="J75" s="101" t="n">
        <v>2.11</v>
      </c>
      <c r="K75" s="102" t="n">
        <v>2233921</v>
      </c>
      <c r="L75" s="169" t="n"/>
      <c r="M75" s="96" t="n"/>
      <c r="N75" s="169" t="n"/>
      <c r="O75" s="169" t="n"/>
      <c r="P75" s="169" t="n"/>
      <c r="Q75" s="169" t="n"/>
      <c r="R75" s="169" t="n"/>
      <c r="S75" s="169" t="n"/>
      <c r="T75" s="169" t="n"/>
      <c r="U75" s="169" t="n"/>
      <c r="V75" s="169" t="n"/>
      <c r="W75" s="169" t="n"/>
      <c r="X75" s="169" t="n"/>
      <c r="Y75" s="85" t="n"/>
    </row>
    <row r="76">
      <c r="A76" s="83" t="n"/>
      <c r="B76" s="100" t="inlineStr">
        <is>
          <t>2020-21</t>
        </is>
      </c>
      <c r="C76" s="100" t="n">
        <v>88.92100000000001</v>
      </c>
      <c r="D76" s="101" t="n">
        <v>5.45</v>
      </c>
      <c r="E76" s="103" t="n">
        <v>2085084</v>
      </c>
      <c r="F76" s="103" t="n">
        <v>2086121</v>
      </c>
      <c r="G76" s="169" t="n"/>
      <c r="H76" s="100" t="n">
        <v>2020</v>
      </c>
      <c r="I76" s="101" t="n">
        <v>89.074</v>
      </c>
      <c r="J76" s="101" t="n">
        <v>5.3</v>
      </c>
      <c r="K76" s="102" t="n">
        <v>2104288</v>
      </c>
      <c r="L76" s="169" t="n"/>
      <c r="M76" s="169" t="n"/>
      <c r="N76" s="169" t="n"/>
      <c r="O76" s="169" t="n"/>
      <c r="P76" s="169" t="n"/>
      <c r="Q76" s="169" t="n"/>
      <c r="R76" s="169" t="n"/>
      <c r="S76" s="169" t="n"/>
      <c r="T76" s="169" t="n"/>
      <c r="U76" s="169" t="n"/>
      <c r="V76" s="169" t="n"/>
      <c r="W76" s="169" t="n"/>
      <c r="X76" s="169" t="n"/>
      <c r="Y76" s="85" t="n"/>
    </row>
    <row r="77">
      <c r="A77" s="83" t="n"/>
      <c r="B77" s="100" t="inlineStr">
        <is>
          <t>2021-22</t>
        </is>
      </c>
      <c r="C77" s="100" t="n">
        <v>88.19199999999999</v>
      </c>
      <c r="D77" s="101" t="n">
        <v>-0.82</v>
      </c>
      <c r="E77" s="103" t="n">
        <v>2361920</v>
      </c>
      <c r="F77" s="103" t="n">
        <v>2354396</v>
      </c>
      <c r="G77" s="169" t="n"/>
      <c r="H77" s="100" t="n">
        <v>2021</v>
      </c>
      <c r="I77" s="101" t="n">
        <v>88.789</v>
      </c>
      <c r="J77" s="101" t="n">
        <v>-0.32</v>
      </c>
      <c r="K77" s="102" t="n">
        <v>2284079</v>
      </c>
      <c r="L77" s="169" t="n"/>
      <c r="M77" s="169" t="n"/>
      <c r="N77" s="169" t="n"/>
      <c r="O77" s="169" t="n"/>
      <c r="P77" s="169" t="n"/>
      <c r="Q77" s="169" t="n"/>
      <c r="R77" s="169" t="n"/>
      <c r="S77" s="169" t="n"/>
      <c r="T77" s="169" t="n"/>
      <c r="U77" s="169" t="n"/>
      <c r="V77" s="169" t="n"/>
      <c r="W77" s="169" t="n"/>
      <c r="X77" s="169" t="n"/>
      <c r="Y77" s="85" t="n"/>
    </row>
    <row r="78">
      <c r="A78" s="83" t="n"/>
      <c r="B78" s="100" t="inlineStr">
        <is>
          <t>2022-23</t>
        </is>
      </c>
      <c r="C78" s="100" t="n">
        <v>94.134</v>
      </c>
      <c r="D78" s="101" t="n">
        <v>6.74</v>
      </c>
      <c r="E78" s="103" t="n">
        <v>2553253</v>
      </c>
      <c r="F78" s="103" t="n">
        <v>2555445</v>
      </c>
      <c r="G78" s="169" t="n"/>
      <c r="H78" s="100" t="n">
        <v>2022</v>
      </c>
      <c r="I78" s="101" t="n">
        <v>93.352</v>
      </c>
      <c r="J78" s="101" t="n">
        <v>5.14</v>
      </c>
      <c r="K78" s="102" t="n">
        <v>2505981</v>
      </c>
      <c r="L78" s="169" t="n"/>
      <c r="M78" s="169" t="n"/>
      <c r="N78" s="169" t="n"/>
      <c r="O78" s="169" t="n"/>
      <c r="P78" s="169" t="n"/>
      <c r="Q78" s="169" t="n"/>
      <c r="R78" s="169" t="n"/>
      <c r="S78" s="169" t="n"/>
      <c r="T78" s="169" t="n"/>
      <c r="U78" s="169" t="n"/>
      <c r="V78" s="169" t="n"/>
      <c r="W78" s="169" t="n"/>
      <c r="X78" s="169" t="n"/>
      <c r="Y78" s="85" t="n"/>
    </row>
    <row r="79">
      <c r="A79" s="83" t="n"/>
      <c r="B79" s="100" t="inlineStr">
        <is>
          <t>2023-24</t>
        </is>
      </c>
      <c r="C79" s="100" t="n">
        <v>100</v>
      </c>
      <c r="D79" s="101" t="n">
        <v>6.23</v>
      </c>
      <c r="E79" s="103" t="n">
        <v>2720272</v>
      </c>
      <c r="F79" s="103" t="n">
        <v>2717531</v>
      </c>
      <c r="G79" s="169" t="n"/>
      <c r="H79" s="100" t="n">
        <v>2023</v>
      </c>
      <c r="I79" s="101" t="n">
        <v>100</v>
      </c>
      <c r="J79" s="101" t="n">
        <v>7.12</v>
      </c>
      <c r="K79" s="102" t="n">
        <v>2687186</v>
      </c>
      <c r="L79" s="169" t="n"/>
      <c r="M79" s="169" t="n"/>
      <c r="N79" s="169" t="n"/>
      <c r="O79" s="169" t="n"/>
      <c r="P79" s="169" t="n"/>
      <c r="Q79" s="169" t="n"/>
      <c r="R79" s="169" t="n"/>
      <c r="S79" s="169" t="n"/>
      <c r="T79" s="169" t="n"/>
      <c r="U79" s="169" t="n"/>
      <c r="V79" s="169" t="n"/>
      <c r="W79" s="169" t="n"/>
      <c r="X79" s="169" t="n"/>
      <c r="Y79" s="85" t="n"/>
    </row>
    <row r="80">
      <c r="A80" s="83" t="n"/>
      <c r="B80" s="100" t="inlineStr">
        <is>
          <t>2024-25 (1), (2)</t>
        </is>
      </c>
      <c r="C80" s="101" t="inlineStr">
        <is>
          <t>-</t>
        </is>
      </c>
      <c r="D80" s="101" t="n">
        <v>0.8</v>
      </c>
      <c r="E80" s="103" t="n">
        <v>2785614</v>
      </c>
      <c r="F80" s="103" t="n">
        <v>2784209</v>
      </c>
      <c r="G80" s="169" t="n"/>
      <c r="H80" s="100" t="inlineStr">
        <is>
          <t>2024 (1), (2)</t>
        </is>
      </c>
      <c r="I80" s="101" t="inlineStr">
        <is>
          <t>-</t>
        </is>
      </c>
      <c r="J80" s="101" t="n">
        <v>1.52</v>
      </c>
      <c r="K80" s="102" t="n">
        <v>2766360</v>
      </c>
      <c r="L80" s="169" t="n"/>
      <c r="M80" s="169" t="n"/>
      <c r="N80" s="169" t="n"/>
      <c r="O80" s="169" t="n"/>
      <c r="P80" s="169" t="n"/>
      <c r="Q80" s="169" t="n"/>
      <c r="R80" s="169" t="n"/>
      <c r="S80" s="169" t="n"/>
      <c r="T80" s="169" t="n"/>
      <c r="U80" s="169" t="n"/>
      <c r="V80" s="169" t="n"/>
      <c r="W80" s="169" t="n"/>
      <c r="X80" s="169" t="n"/>
      <c r="Y80" s="85" t="n"/>
    </row>
    <row r="81">
      <c r="A81" s="83" t="n"/>
      <c r="B81" s="100" t="inlineStr">
        <is>
          <t>2025-26 (1), (2)</t>
        </is>
      </c>
      <c r="C81" s="101" t="inlineStr">
        <is>
          <t>-</t>
        </is>
      </c>
      <c r="D81" s="101" t="n">
        <v>1.35</v>
      </c>
      <c r="E81" s="103" t="n">
        <v>2875062</v>
      </c>
      <c r="F81" s="103" t="n">
        <v>2876148</v>
      </c>
      <c r="G81" s="169" t="n"/>
      <c r="H81" s="100" t="inlineStr">
        <is>
          <t>2025 (1), (2)</t>
        </is>
      </c>
      <c r="I81" s="101" t="inlineStr">
        <is>
          <t>-</t>
        </is>
      </c>
      <c r="J81" s="101" t="n">
        <v>1.18</v>
      </c>
      <c r="K81" s="102" t="n">
        <v>2850872</v>
      </c>
      <c r="L81" s="169" t="n"/>
      <c r="M81" s="169" t="n"/>
      <c r="N81" s="169" t="n"/>
      <c r="O81" s="169" t="n"/>
      <c r="P81" s="169" t="n"/>
      <c r="Q81" s="169" t="n"/>
      <c r="R81" s="169" t="n"/>
      <c r="S81" s="169" t="n"/>
      <c r="T81" s="169" t="n"/>
      <c r="U81" s="169" t="n"/>
      <c r="V81" s="169" t="n"/>
      <c r="W81" s="169" t="n"/>
      <c r="X81" s="169" t="n"/>
      <c r="Y81" s="85" t="n"/>
    </row>
    <row r="82">
      <c r="A82" s="83" t="n"/>
      <c r="B82" s="100" t="inlineStr">
        <is>
          <t>2026-27 (1), (2)</t>
        </is>
      </c>
      <c r="C82" s="101" t="inlineStr">
        <is>
          <t>-</t>
        </is>
      </c>
      <c r="D82" s="101" t="n">
        <v>1.74</v>
      </c>
      <c r="E82" s="103" t="n">
        <v>2984832</v>
      </c>
      <c r="F82" s="103" t="n">
        <v>2984381</v>
      </c>
      <c r="G82" s="169" t="n"/>
      <c r="H82" s="100" t="inlineStr">
        <is>
          <t>2026 (1), (2)</t>
        </is>
      </c>
      <c r="I82" s="101" t="inlineStr">
        <is>
          <t>-</t>
        </is>
      </c>
      <c r="J82" s="101" t="n">
        <v>1.67</v>
      </c>
      <c r="K82" s="102" t="n">
        <v>2956987</v>
      </c>
      <c r="L82" s="169" t="n"/>
      <c r="M82" s="169" t="n"/>
      <c r="N82" s="169" t="n"/>
      <c r="O82" s="169" t="n"/>
      <c r="P82" s="169" t="n"/>
      <c r="Q82" s="169" t="n"/>
      <c r="R82" s="169" t="n"/>
      <c r="S82" s="169" t="n"/>
      <c r="T82" s="169" t="n"/>
      <c r="U82" s="169" t="n"/>
      <c r="V82" s="169" t="n"/>
      <c r="W82" s="169" t="n"/>
      <c r="X82" s="169" t="n"/>
      <c r="Y82" s="85" t="n"/>
    </row>
    <row r="83">
      <c r="A83" s="83" t="n"/>
      <c r="B83" s="100" t="inlineStr">
        <is>
          <t>2027-28 (1), (2)</t>
        </is>
      </c>
      <c r="C83" s="101" t="inlineStr">
        <is>
          <t>-</t>
        </is>
      </c>
      <c r="D83" s="101" t="n">
        <v>1.87</v>
      </c>
      <c r="E83" s="103" t="n">
        <v>3094490</v>
      </c>
      <c r="F83" s="103" t="n">
        <v>3094490</v>
      </c>
      <c r="G83" s="169" t="n"/>
      <c r="H83" s="100" t="inlineStr">
        <is>
          <t>2027 (1), (2)</t>
        </is>
      </c>
      <c r="I83" s="101" t="inlineStr">
        <is>
          <t>-</t>
        </is>
      </c>
      <c r="J83" s="101" t="n">
        <v>1.85</v>
      </c>
      <c r="K83" s="102" t="n">
        <v>3066787</v>
      </c>
      <c r="L83" s="169" t="n"/>
      <c r="M83" s="169" t="n"/>
      <c r="N83" s="169" t="n"/>
      <c r="O83" s="169" t="n"/>
      <c r="P83" s="169" t="n"/>
      <c r="Q83" s="169" t="n"/>
      <c r="R83" s="169" t="n"/>
      <c r="S83" s="169" t="n"/>
      <c r="T83" s="169" t="n"/>
      <c r="U83" s="169" t="n"/>
      <c r="V83" s="169" t="n"/>
      <c r="W83" s="169" t="n"/>
      <c r="X83" s="169" t="n"/>
      <c r="Y83" s="85" t="n"/>
    </row>
    <row r="84">
      <c r="A84" s="83" t="n"/>
      <c r="B84" s="100" t="inlineStr">
        <is>
          <t>2028-29 (1), (2)</t>
        </is>
      </c>
      <c r="C84" s="101" t="inlineStr">
        <is>
          <t>-</t>
        </is>
      </c>
      <c r="D84" s="101" t="n">
        <v>1.93</v>
      </c>
      <c r="E84" s="103" t="n">
        <v>3207476</v>
      </c>
      <c r="F84" s="103" t="n">
        <v>3207476</v>
      </c>
      <c r="G84" s="169" t="n"/>
      <c r="H84" s="100" t="inlineStr">
        <is>
          <t>2028 (1), (2)</t>
        </is>
      </c>
      <c r="I84" s="101" t="inlineStr">
        <is>
          <t>-</t>
        </is>
      </c>
      <c r="J84" s="101" t="n">
        <v>1.92</v>
      </c>
      <c r="K84" s="102" t="n">
        <v>3178873</v>
      </c>
      <c r="L84" s="169" t="n"/>
      <c r="M84" s="169" t="n"/>
      <c r="N84" s="169" t="n"/>
      <c r="O84" s="169" t="n"/>
      <c r="P84" s="169" t="n"/>
      <c r="Q84" s="169" t="n"/>
      <c r="R84" s="169" t="n"/>
      <c r="S84" s="169" t="n"/>
      <c r="T84" s="169" t="n"/>
      <c r="U84" s="169" t="n"/>
      <c r="V84" s="169" t="n"/>
      <c r="W84" s="169" t="n"/>
      <c r="X84" s="169" t="n"/>
      <c r="Y84" s="85" t="n"/>
    </row>
    <row r="85">
      <c r="A85" s="83" t="n"/>
      <c r="B85" s="106" t="inlineStr">
        <is>
          <t>Sources and footnotes:</t>
        </is>
      </c>
      <c r="C85" s="169" t="n"/>
      <c r="D85" s="169" t="n"/>
      <c r="E85" s="169" t="n"/>
      <c r="F85" s="169" t="n"/>
      <c r="G85" s="169" t="n"/>
      <c r="H85" s="169" t="n"/>
      <c r="I85" s="169" t="n"/>
      <c r="J85" s="169" t="n"/>
      <c r="K85" s="169" t="n"/>
      <c r="L85" s="169" t="n"/>
      <c r="M85" s="169" t="n"/>
      <c r="N85" s="169" t="n"/>
      <c r="O85" s="169" t="n"/>
      <c r="P85" s="169" t="n"/>
      <c r="Q85" s="169" t="n"/>
      <c r="R85" s="169" t="n"/>
      <c r="S85" s="169" t="n"/>
      <c r="T85" s="169" t="n"/>
      <c r="U85" s="169" t="n"/>
      <c r="V85" s="169" t="n"/>
      <c r="W85" s="169" t="n"/>
      <c r="X85" s="169" t="n"/>
      <c r="Y85" s="85" t="n"/>
    </row>
    <row r="86">
      <c r="A86" s="83" t="n"/>
      <c r="B86" s="95" t="inlineStr">
        <is>
          <t>GDP Deflator:</t>
        </is>
      </c>
      <c r="C86" s="95" t="inlineStr">
        <is>
          <t>Financial years 1955-56 to 2023-24 taken from ONS series L8GG in data tables: Table N.</t>
        </is>
      </c>
      <c r="D86" s="285" t="n"/>
      <c r="E86" s="285" t="n"/>
      <c r="F86" s="285" t="n"/>
      <c r="G86" s="285" t="n"/>
      <c r="H86" s="285" t="n"/>
      <c r="I86" s="285" t="n"/>
      <c r="J86" s="285" t="n"/>
      <c r="K86" s="286" t="n"/>
      <c r="L86" s="169" t="n"/>
      <c r="M86" s="169" t="n"/>
      <c r="N86" s="169" t="n"/>
      <c r="O86" s="169" t="n"/>
      <c r="P86" s="169" t="n"/>
      <c r="Q86" s="169" t="n"/>
      <c r="R86" s="169" t="n"/>
      <c r="S86" s="169" t="n"/>
      <c r="T86" s="169" t="n"/>
      <c r="U86" s="169" t="n"/>
      <c r="V86" s="169" t="n"/>
      <c r="W86" s="169" t="n"/>
      <c r="X86" s="169" t="n"/>
      <c r="Y86" s="85" t="n"/>
    </row>
    <row r="87">
      <c r="A87" s="83" t="n"/>
      <c r="B87" s="96" t="n"/>
      <c r="C87" s="289" t="inlineStr">
        <is>
          <t>https://www.ons.gov.uk/file?uri=/economy/grossdomesticproductgdp/datasets/uksecondestimateofgdpdatatables/quarter1jantomar2024quarterlynationalaccounts/quarterlynationalaccountsdatatables.xlsx</t>
        </is>
      </c>
      <c r="D87" s="285" t="n"/>
      <c r="E87" s="285" t="n"/>
      <c r="F87" s="285" t="n"/>
      <c r="G87" s="285" t="n"/>
      <c r="H87" s="285" t="n"/>
      <c r="I87" s="285" t="n"/>
      <c r="J87" s="285" t="n"/>
      <c r="K87" s="286" t="n"/>
      <c r="L87" s="169" t="n"/>
      <c r="M87" s="169" t="n"/>
      <c r="N87" s="169" t="n"/>
      <c r="O87" s="169" t="n"/>
      <c r="P87" s="169" t="n"/>
      <c r="Q87" s="169" t="n"/>
      <c r="R87" s="169" t="n"/>
      <c r="S87" s="169" t="n"/>
      <c r="T87" s="169" t="n"/>
      <c r="U87" s="169" t="n"/>
      <c r="V87" s="169" t="n"/>
      <c r="W87" s="169" t="n"/>
      <c r="X87" s="169" t="n"/>
      <c r="Y87" s="85" t="n"/>
    </row>
    <row r="88">
      <c r="A88" s="83" t="n"/>
      <c r="B88" s="96" t="n"/>
      <c r="C88" s="95" t="inlineStr">
        <is>
          <t>Calendar years 1955 to 2023 taken from ONS series MNF2 in data tables: Table O.</t>
        </is>
      </c>
      <c r="D88" s="285" t="n"/>
      <c r="E88" s="285" t="n"/>
      <c r="F88" s="285" t="n"/>
      <c r="G88" s="285" t="n"/>
      <c r="H88" s="285" t="n"/>
      <c r="I88" s="285" t="n"/>
      <c r="J88" s="285" t="n"/>
      <c r="K88" s="286" t="n"/>
      <c r="L88" s="169" t="n"/>
      <c r="M88" s="169" t="n"/>
      <c r="N88" s="169" t="n"/>
      <c r="O88" s="169" t="n"/>
      <c r="P88" s="169" t="n"/>
      <c r="Q88" s="169" t="n"/>
      <c r="R88" s="169" t="n"/>
      <c r="S88" s="169" t="n"/>
      <c r="T88" s="169" t="n"/>
      <c r="U88" s="169" t="n"/>
      <c r="V88" s="169" t="n"/>
      <c r="W88" s="169" t="n"/>
      <c r="X88" s="169" t="n"/>
      <c r="Y88" s="85" t="n"/>
    </row>
    <row r="89">
      <c r="A89" s="83" t="n"/>
      <c r="B89" s="96" t="n"/>
      <c r="C89" s="289" t="inlineStr">
        <is>
          <t>https://www.ons.gov.uk/file?uri=/economy/grossdomesticproductgdp/datasets/uksecondestimateofgdpdatatables/quarter1jantomar2024quarterlynationalaccounts/quarterlynationalaccountsdatatables.xlsx</t>
        </is>
      </c>
      <c r="D89" s="285" t="n"/>
      <c r="E89" s="285" t="n"/>
      <c r="F89" s="285" t="n"/>
      <c r="G89" s="285" t="n"/>
      <c r="H89" s="285" t="n"/>
      <c r="I89" s="285" t="n"/>
      <c r="J89" s="285" t="n"/>
      <c r="K89" s="286" t="n"/>
      <c r="L89" s="169" t="n"/>
      <c r="M89" s="169" t="n"/>
      <c r="N89" s="169" t="n"/>
      <c r="O89" s="169" t="n"/>
      <c r="P89" s="169" t="n"/>
      <c r="Q89" s="169" t="n"/>
      <c r="R89" s="169" t="n"/>
      <c r="S89" s="169" t="n"/>
      <c r="T89" s="169" t="n"/>
      <c r="U89" s="169" t="n"/>
      <c r="V89" s="169" t="n"/>
      <c r="W89" s="169" t="n"/>
      <c r="X89" s="169" t="n"/>
      <c r="Y89" s="85" t="n"/>
    </row>
    <row r="90">
      <c r="A90" s="83" t="n"/>
      <c r="B90" s="96" t="n"/>
      <c r="C90" s="95" t="inlineStr">
        <is>
          <t>For years 2024-25 to 2028-29 (2024 to 2028): taken from the Office for Budget Responsibility (OBR) GDP deflator forecasts as of March 2024 EFO detailed forecast tables.</t>
        </is>
      </c>
      <c r="D90" s="285" t="n"/>
      <c r="E90" s="285" t="n"/>
      <c r="F90" s="285" t="n"/>
      <c r="G90" s="285" t="n"/>
      <c r="H90" s="285" t="n"/>
      <c r="I90" s="285" t="n"/>
      <c r="J90" s="285" t="n"/>
      <c r="K90" s="286" t="n"/>
      <c r="L90" s="169" t="n"/>
      <c r="M90" s="169" t="n"/>
      <c r="N90" s="169" t="n"/>
      <c r="O90" s="169" t="n"/>
      <c r="P90" s="169" t="n"/>
      <c r="Q90" s="169" t="n"/>
      <c r="R90" s="169" t="n"/>
      <c r="S90" s="169" t="n"/>
      <c r="T90" s="169" t="n"/>
      <c r="U90" s="169" t="n"/>
      <c r="V90" s="169" t="n"/>
      <c r="W90" s="169" t="n"/>
      <c r="X90" s="169" t="n"/>
      <c r="Y90" s="85" t="n"/>
    </row>
    <row r="91">
      <c r="A91" s="83" t="n"/>
      <c r="B91" s="96" t="n"/>
      <c r="C91" s="289" t="inlineStr">
        <is>
          <t>https://obr.uk/efo/economic-and-fiscal-outlook-march-2024/</t>
        </is>
      </c>
      <c r="D91" s="285" t="n"/>
      <c r="E91" s="285" t="n"/>
      <c r="F91" s="285" t="n"/>
      <c r="G91" s="285" t="n"/>
      <c r="H91" s="285" t="n"/>
      <c r="I91" s="285" t="n"/>
      <c r="J91" s="285" t="n"/>
      <c r="K91" s="286" t="n"/>
      <c r="L91" s="169" t="n"/>
      <c r="M91" s="96" t="n"/>
      <c r="N91" s="96" t="n"/>
      <c r="O91" s="169" t="n"/>
      <c r="P91" s="96" t="n"/>
      <c r="Q91" s="169" t="n"/>
      <c r="R91" s="169" t="n"/>
      <c r="S91" s="169" t="n"/>
      <c r="T91" s="169" t="n"/>
      <c r="U91" s="169" t="n"/>
      <c r="V91" s="169" t="n"/>
      <c r="W91" s="169" t="n"/>
      <c r="X91" s="169" t="n"/>
      <c r="Y91" s="85" t="n"/>
    </row>
    <row r="92">
      <c r="A92" s="83" t="n"/>
      <c r="B92" s="95" t="inlineStr">
        <is>
          <t>Money GDP:</t>
        </is>
      </c>
      <c r="C92" s="95" t="inlineStr">
        <is>
          <t>For years 1955-56 to 2023-24 (1955 to 2023): ONS data for money GDP not seasonally adjusted series BKTL in data tables: Table N.</t>
        </is>
      </c>
      <c r="D92" s="285" t="n"/>
      <c r="E92" s="285" t="n"/>
      <c r="F92" s="285" t="n"/>
      <c r="G92" s="285" t="n"/>
      <c r="H92" s="285" t="n"/>
      <c r="I92" s="285" t="n"/>
      <c r="J92" s="285" t="n"/>
      <c r="K92" s="286" t="n"/>
      <c r="L92" s="169" t="n"/>
      <c r="M92" s="96" t="n"/>
      <c r="N92" s="96" t="n"/>
      <c r="O92" s="169" t="n"/>
      <c r="P92" s="96" t="n"/>
      <c r="Q92" s="169" t="n"/>
      <c r="R92" s="169" t="n"/>
      <c r="S92" s="169" t="n"/>
      <c r="T92" s="169" t="n"/>
      <c r="U92" s="169" t="n"/>
      <c r="V92" s="169" t="n"/>
      <c r="W92" s="169" t="n"/>
      <c r="X92" s="169" t="n"/>
      <c r="Y92" s="85" t="n"/>
    </row>
    <row r="93">
      <c r="A93" s="83" t="n"/>
      <c r="B93" s="96" t="n"/>
      <c r="C93" s="289" t="inlineStr">
        <is>
          <t>https://www.ons.gov.uk/file?uri=/economy/grossdomesticproductgdp/datasets/uksecondestimateofgdpdatatables/quarter1jantomar2024quarterlynationalaccounts/quarterlynationalaccountsdatatables.xlsx</t>
        </is>
      </c>
      <c r="D93" s="285" t="n"/>
      <c r="E93" s="285" t="n"/>
      <c r="F93" s="285" t="n"/>
      <c r="G93" s="285" t="n"/>
      <c r="H93" s="285" t="n"/>
      <c r="I93" s="285" t="n"/>
      <c r="J93" s="285" t="n"/>
      <c r="K93" s="286" t="n"/>
      <c r="L93" s="169" t="n"/>
      <c r="M93" s="169" t="n"/>
      <c r="N93" s="169" t="n"/>
      <c r="O93" s="169" t="n"/>
      <c r="P93" s="169" t="n"/>
      <c r="Q93" s="169" t="n"/>
      <c r="R93" s="169" t="n"/>
      <c r="S93" s="169" t="n"/>
      <c r="T93" s="169" t="n"/>
      <c r="U93" s="169" t="n"/>
      <c r="V93" s="169" t="n"/>
      <c r="W93" s="169" t="n"/>
      <c r="X93" s="169" t="n"/>
      <c r="Y93" s="85" t="n"/>
    </row>
    <row r="94">
      <c r="A94" s="83" t="n"/>
      <c r="B94" s="96" t="n"/>
      <c r="C94" s="95" t="inlineStr">
        <is>
          <t>For years 1955-56 to 2023-24: ONS data for money GDP seasonally adjusted series YBHA in data tables: Table N.</t>
        </is>
      </c>
      <c r="D94" s="285" t="n"/>
      <c r="E94" s="285" t="n"/>
      <c r="F94" s="285" t="n"/>
      <c r="G94" s="285" t="n"/>
      <c r="H94" s="285" t="n"/>
      <c r="I94" s="285" t="n"/>
      <c r="J94" s="285" t="n"/>
      <c r="K94" s="286" t="n"/>
      <c r="L94" s="169" t="n"/>
      <c r="M94" s="96" t="n"/>
      <c r="N94" s="96" t="n"/>
      <c r="O94" s="169" t="n"/>
      <c r="P94" s="96" t="n"/>
      <c r="Q94" s="169" t="n"/>
      <c r="R94" s="169" t="n"/>
      <c r="S94" s="169" t="n"/>
      <c r="T94" s="169" t="n"/>
      <c r="U94" s="169" t="n"/>
      <c r="V94" s="169" t="n"/>
      <c r="W94" s="169" t="n"/>
      <c r="X94" s="169" t="n"/>
      <c r="Y94" s="85" t="n"/>
    </row>
    <row r="95">
      <c r="A95" s="83" t="n"/>
      <c r="B95" s="96" t="n"/>
      <c r="C95" s="289" t="inlineStr">
        <is>
          <t>https://www.ons.gov.uk/file?uri=/economy/grossdomesticproductgdp/datasets/uksecondestimateofgdpdatatables/quarter1jantomar2024quarterlynationalaccounts/quarterlynationalaccountsdatatables.xlsx</t>
        </is>
      </c>
      <c r="D95" s="285" t="n"/>
      <c r="E95" s="285" t="n"/>
      <c r="F95" s="285" t="n"/>
      <c r="G95" s="285" t="n"/>
      <c r="H95" s="285" t="n"/>
      <c r="I95" s="285" t="n"/>
      <c r="J95" s="285" t="n"/>
      <c r="K95" s="286" t="n"/>
      <c r="L95" s="169" t="n"/>
      <c r="M95" s="169" t="n"/>
      <c r="N95" s="169" t="n"/>
      <c r="O95" s="169" t="n"/>
      <c r="P95" s="169" t="n"/>
      <c r="Q95" s="169" t="n"/>
      <c r="R95" s="169" t="n"/>
      <c r="S95" s="169" t="n"/>
      <c r="T95" s="169" t="n"/>
      <c r="U95" s="169" t="n"/>
      <c r="V95" s="169" t="n"/>
      <c r="W95" s="169" t="n"/>
      <c r="X95" s="169" t="n"/>
      <c r="Y95" s="85" t="n"/>
    </row>
    <row r="96">
      <c r="A96" s="83" t="n"/>
      <c r="B96" s="96" t="n"/>
      <c r="C96" s="95" t="inlineStr">
        <is>
          <t>For years 2024-25 to 2028-29 (2024 to 2028): taken from the Office for Budget Responsibility (OBR) GDP deflator forecasts as of March 2024 EFO detailed forecast tables.</t>
        </is>
      </c>
      <c r="D96" s="285" t="n"/>
      <c r="E96" s="285" t="n"/>
      <c r="F96" s="285" t="n"/>
      <c r="G96" s="285" t="n"/>
      <c r="H96" s="285" t="n"/>
      <c r="I96" s="285" t="n"/>
      <c r="J96" s="285" t="n"/>
      <c r="K96" s="286" t="n"/>
      <c r="L96" s="169" t="n"/>
      <c r="M96" s="169" t="n"/>
      <c r="N96" s="169" t="n"/>
      <c r="O96" s="169" t="n"/>
      <c r="P96" s="169" t="n"/>
      <c r="Q96" s="169" t="n"/>
      <c r="R96" s="169" t="n"/>
      <c r="S96" s="169" t="n"/>
      <c r="T96" s="169" t="n"/>
      <c r="U96" s="169" t="n"/>
      <c r="V96" s="169" t="n"/>
      <c r="W96" s="169" t="n"/>
      <c r="X96" s="169" t="n"/>
      <c r="Y96" s="85" t="n"/>
    </row>
    <row r="97">
      <c r="A97" s="83" t="n"/>
      <c r="B97" s="96" t="n"/>
      <c r="C97" s="289" t="inlineStr">
        <is>
          <t>https://obr.uk/efo/economic-and-fiscal-outlook-march-2024/</t>
        </is>
      </c>
      <c r="D97" s="285" t="n"/>
      <c r="E97" s="285" t="n"/>
      <c r="F97" s="285" t="n"/>
      <c r="G97" s="285" t="n"/>
      <c r="H97" s="285" t="n"/>
      <c r="I97" s="285" t="n"/>
      <c r="J97" s="285" t="n"/>
      <c r="K97" s="286" t="n"/>
      <c r="L97" s="169" t="n"/>
      <c r="M97" s="96" t="n"/>
      <c r="N97" s="96" t="n"/>
      <c r="O97" s="169" t="n"/>
      <c r="P97" s="96" t="n"/>
      <c r="Q97" s="169" t="n"/>
      <c r="R97" s="169" t="n"/>
      <c r="S97" s="169" t="n"/>
      <c r="T97" s="169" t="n"/>
      <c r="U97" s="169" t="n"/>
      <c r="V97" s="169" t="n"/>
      <c r="W97" s="169" t="n"/>
      <c r="X97" s="169" t="n"/>
      <c r="Y97" s="85" t="n"/>
    </row>
    <row r="98">
      <c r="A98" s="83" t="n"/>
      <c r="B98" s="95" t="inlineStr">
        <is>
          <t>Footnotes:</t>
        </is>
      </c>
      <c r="C98" s="96" t="n"/>
      <c r="D98" s="96" t="n"/>
      <c r="E98" s="96" t="n"/>
      <c r="F98" s="96" t="n"/>
      <c r="G98" s="96" t="n"/>
      <c r="H98" s="96" t="n"/>
      <c r="I98" s="96" t="n"/>
      <c r="J98" s="96" t="n"/>
      <c r="K98" s="96" t="n"/>
      <c r="L98" s="169" t="n"/>
      <c r="M98" s="169" t="n"/>
      <c r="N98" s="169" t="n"/>
      <c r="O98" s="169" t="n"/>
      <c r="P98" s="169" t="n"/>
      <c r="Q98" s="169" t="n"/>
      <c r="R98" s="169" t="n"/>
      <c r="S98" s="169" t="n"/>
      <c r="T98" s="169" t="n"/>
      <c r="U98" s="169" t="n"/>
      <c r="V98" s="169" t="n"/>
      <c r="W98" s="169" t="n"/>
      <c r="X98" s="169" t="n"/>
      <c r="Y98" s="85" t="n"/>
    </row>
    <row r="99">
      <c r="A99" s="83" t="n"/>
      <c r="B99" s="108" t="n">
        <v>-1</v>
      </c>
      <c r="C99" s="95" t="inlineStr">
        <is>
          <t>For years 2024-25 to 2028-29 (2024 to 2028), this presentation only shows percentage changes in line with data taken from the OBR GDP deflator forecasts as of March 2024 EFO detailed forecast tables.</t>
        </is>
      </c>
      <c r="D99" s="285" t="n"/>
      <c r="E99" s="285" t="n"/>
      <c r="F99" s="285" t="n"/>
      <c r="G99" s="285" t="n"/>
      <c r="H99" s="285" t="n"/>
      <c r="I99" s="285" t="n"/>
      <c r="J99" s="285" t="n"/>
      <c r="K99" s="286" t="n"/>
      <c r="L99" s="169" t="n"/>
      <c r="M99" s="96" t="n"/>
      <c r="N99" s="96" t="n"/>
      <c r="O99" s="169" t="n"/>
      <c r="P99" s="96" t="n"/>
      <c r="Q99" s="169" t="n"/>
      <c r="R99" s="169" t="n"/>
      <c r="S99" s="169" t="n"/>
      <c r="T99" s="169" t="n"/>
      <c r="U99" s="169" t="n"/>
      <c r="V99" s="169" t="n"/>
      <c r="W99" s="169" t="n"/>
      <c r="X99" s="169" t="n"/>
      <c r="Y99" s="85" t="n"/>
    </row>
    <row r="100">
      <c r="A100" s="83" t="n"/>
      <c r="B100" s="108" t="n">
        <v>-2</v>
      </c>
      <c r="C100" s="95" t="inlineStr">
        <is>
          <t>For years 2024-25 to 2028-29 (2024 to 2028), money GDP forecasts from the OBR as of the Budget, March 2024.</t>
        </is>
      </c>
      <c r="D100" s="285" t="n"/>
      <c r="E100" s="285" t="n"/>
      <c r="F100" s="285" t="n"/>
      <c r="G100" s="285" t="n"/>
      <c r="H100" s="285" t="n"/>
      <c r="I100" s="285" t="n"/>
      <c r="J100" s="285" t="n"/>
      <c r="K100" s="286" t="n"/>
      <c r="L100" s="169" t="n"/>
      <c r="M100" s="96" t="n"/>
      <c r="N100" s="96" t="n"/>
      <c r="O100" s="169" t="n"/>
      <c r="P100" s="96" t="n"/>
      <c r="Q100" s="169" t="n"/>
      <c r="R100" s="169" t="n"/>
      <c r="S100" s="169" t="n"/>
      <c r="T100" s="169" t="n"/>
      <c r="U100" s="169" t="n"/>
      <c r="V100" s="169" t="n"/>
      <c r="W100" s="169" t="n"/>
      <c r="X100" s="169" t="n"/>
      <c r="Y100" s="85" t="n"/>
    </row>
    <row r="101">
      <c r="A101" s="83" t="n"/>
      <c r="B101" s="108" t="n">
        <v>-3</v>
      </c>
      <c r="C101" s="95" t="inlineStr">
        <is>
          <t>Non-Seasonally adjusted money GDP (BKTL) from 1955-56 to 2023-24 (1955 to 2023) consistent with ONS Quarterly National Accounts release of 28 June 2024.</t>
        </is>
      </c>
      <c r="D101" s="285" t="n"/>
      <c r="E101" s="285" t="n"/>
      <c r="F101" s="285" t="n"/>
      <c r="G101" s="285" t="n"/>
      <c r="H101" s="285" t="n"/>
      <c r="I101" s="285" t="n"/>
      <c r="J101" s="285" t="n"/>
      <c r="K101" s="286" t="n"/>
      <c r="L101" s="169" t="n"/>
      <c r="M101" s="96" t="n"/>
      <c r="N101" s="96" t="n"/>
      <c r="O101" s="169" t="n"/>
      <c r="P101" s="96" t="n"/>
      <c r="Q101" s="169" t="n"/>
      <c r="R101" s="169" t="n"/>
      <c r="S101" s="169" t="n"/>
      <c r="T101" s="169" t="n"/>
      <c r="U101" s="169" t="n"/>
      <c r="V101" s="169" t="n"/>
      <c r="W101" s="169" t="n"/>
      <c r="X101" s="169" t="n"/>
      <c r="Y101" s="85" t="n"/>
    </row>
    <row r="102">
      <c r="A102" s="83" t="n"/>
      <c r="B102" s="108" t="n">
        <v>-4</v>
      </c>
      <c r="C102" s="95" t="inlineStr">
        <is>
          <t>Seasonally adjusted money GDP (YBHA) from 1955-56 to 2022-23 consistent with ONS Quarterly National Accounts release of 28 June 2024.</t>
        </is>
      </c>
      <c r="D102" s="285" t="n"/>
      <c r="E102" s="285" t="n"/>
      <c r="F102" s="285" t="n"/>
      <c r="G102" s="285" t="n"/>
      <c r="H102" s="285" t="n"/>
      <c r="I102" s="285" t="n"/>
      <c r="J102" s="285" t="n"/>
      <c r="K102" s="286" t="n"/>
      <c r="L102" s="169" t="n"/>
      <c r="M102" s="96" t="n"/>
      <c r="N102" s="96" t="n"/>
      <c r="O102" s="169" t="n"/>
      <c r="P102" s="96" t="n"/>
      <c r="Q102" s="169" t="n"/>
      <c r="R102" s="169" t="n"/>
      <c r="S102" s="169" t="n"/>
      <c r="T102" s="169" t="n"/>
      <c r="U102" s="169" t="n"/>
      <c r="V102" s="169" t="n"/>
      <c r="W102" s="169" t="n"/>
      <c r="X102" s="169" t="n"/>
      <c r="Y102" s="85" t="n"/>
    </row>
    <row r="103">
      <c r="A103" s="83" t="n"/>
      <c r="B103" s="108" t="n">
        <v>-5</v>
      </c>
      <c r="C103" s="95" t="inlineStr">
        <is>
          <t>For further information and the 'User's Guide' to these series, please visit the following page on the GOV.UK website at:</t>
        </is>
      </c>
      <c r="D103" s="285" t="n"/>
      <c r="E103" s="285" t="n"/>
      <c r="F103" s="285" t="n"/>
      <c r="G103" s="285" t="n"/>
      <c r="H103" s="285" t="n"/>
      <c r="I103" s="285" t="n"/>
      <c r="J103" s="285" t="n"/>
      <c r="K103" s="286" t="n"/>
      <c r="L103" s="169" t="n"/>
      <c r="M103" s="96" t="n"/>
      <c r="N103" s="96" t="n"/>
      <c r="O103" s="169" t="n"/>
      <c r="P103" s="96" t="n"/>
      <c r="Q103" s="169" t="n"/>
      <c r="R103" s="169" t="n"/>
      <c r="S103" s="169" t="n"/>
      <c r="T103" s="169" t="n"/>
      <c r="U103" s="169" t="n"/>
      <c r="V103" s="169" t="n"/>
      <c r="W103" s="169" t="n"/>
      <c r="X103" s="169" t="n"/>
      <c r="Y103" s="85" t="n"/>
    </row>
    <row r="104">
      <c r="A104" s="83" t="n"/>
      <c r="B104" s="96" t="n"/>
      <c r="C104" s="289" t="inlineStr">
        <is>
          <t>https://www.gov.uk/government/publications/gross-domestic-product-gdp-deflators-user-guide</t>
        </is>
      </c>
      <c r="D104" s="285" t="n"/>
      <c r="E104" s="285" t="n"/>
      <c r="F104" s="285" t="n"/>
      <c r="G104" s="285" t="n"/>
      <c r="H104" s="285" t="n"/>
      <c r="I104" s="285" t="n"/>
      <c r="J104" s="285" t="n"/>
      <c r="K104" s="286" t="n"/>
      <c r="L104" s="169" t="n"/>
      <c r="M104" s="96" t="n"/>
      <c r="N104" s="96" t="n"/>
      <c r="O104" s="169" t="n"/>
      <c r="P104" s="96" t="n"/>
      <c r="Q104" s="169" t="n"/>
      <c r="R104" s="169" t="n"/>
      <c r="S104" s="169" t="n"/>
      <c r="T104" s="169" t="n"/>
      <c r="U104" s="169" t="n"/>
      <c r="V104" s="169" t="n"/>
      <c r="W104" s="169" t="n"/>
      <c r="X104" s="169" t="n"/>
      <c r="Y104" s="85" t="n"/>
    </row>
    <row r="105">
      <c r="A105" s="83" t="n"/>
      <c r="B105" s="108" t="n">
        <v>-6</v>
      </c>
      <c r="C105" s="95" t="inlineStr">
        <is>
          <t>For practical examples of how to use the GDP deflator series, please visit the following page on the GOV.UK website at:</t>
        </is>
      </c>
      <c r="D105" s="285" t="n"/>
      <c r="E105" s="285" t="n"/>
      <c r="F105" s="285" t="n"/>
      <c r="G105" s="285" t="n"/>
      <c r="H105" s="285" t="n"/>
      <c r="I105" s="285" t="n"/>
      <c r="J105" s="285" t="n"/>
      <c r="K105" s="286" t="n"/>
      <c r="L105" s="169" t="n"/>
      <c r="M105" s="96" t="n"/>
      <c r="N105" s="96" t="n"/>
      <c r="O105" s="169" t="n"/>
      <c r="P105" s="96" t="n"/>
      <c r="Q105" s="169" t="n"/>
      <c r="R105" s="169" t="n"/>
      <c r="S105" s="169" t="n"/>
      <c r="T105" s="169" t="n"/>
      <c r="U105" s="169" t="n"/>
      <c r="V105" s="169" t="n"/>
      <c r="W105" s="169" t="n"/>
      <c r="X105" s="169" t="n"/>
      <c r="Y105" s="85" t="n"/>
    </row>
    <row r="106">
      <c r="A106" s="83" t="n"/>
      <c r="B106" s="96" t="n"/>
      <c r="C106" s="289" t="inlineStr">
        <is>
          <t>https://www.gov.uk/government/publications/how-to-use-the-gdp-deflator-series-practical-examples</t>
        </is>
      </c>
      <c r="D106" s="285" t="n"/>
      <c r="E106" s="285" t="n"/>
      <c r="F106" s="285" t="n"/>
      <c r="G106" s="285" t="n"/>
      <c r="H106" s="285" t="n"/>
      <c r="I106" s="285" t="n"/>
      <c r="J106" s="285" t="n"/>
      <c r="K106" s="286" t="n"/>
      <c r="L106" s="169" t="n"/>
      <c r="M106" s="96" t="n"/>
      <c r="N106" s="96" t="n"/>
      <c r="O106" s="169" t="n"/>
      <c r="P106" s="96" t="n"/>
      <c r="Q106" s="169" t="n"/>
      <c r="R106" s="169" t="n"/>
      <c r="S106" s="169" t="n"/>
      <c r="T106" s="169" t="n"/>
      <c r="U106" s="169" t="n"/>
      <c r="V106" s="169" t="n"/>
      <c r="W106" s="169" t="n"/>
      <c r="X106" s="169" t="n"/>
      <c r="Y106" s="85" t="n"/>
    </row>
    <row r="107">
      <c r="A107" s="83" t="n"/>
      <c r="B107" s="169" t="n"/>
      <c r="C107" s="169" t="n"/>
      <c r="D107" s="169" t="n"/>
      <c r="E107" s="169" t="n"/>
      <c r="F107" s="169" t="n"/>
      <c r="G107" s="169" t="n"/>
      <c r="H107" s="169" t="n"/>
      <c r="I107" s="169" t="n"/>
      <c r="J107" s="169" t="n"/>
      <c r="K107" s="169" t="n"/>
      <c r="L107" s="169" t="n"/>
      <c r="M107" s="169" t="n"/>
      <c r="N107" s="169" t="n"/>
      <c r="O107" s="169" t="n"/>
      <c r="P107" s="169" t="n"/>
      <c r="Q107" s="169" t="n"/>
      <c r="R107" s="169" t="n"/>
      <c r="S107" s="169" t="n"/>
      <c r="T107" s="169" t="n"/>
      <c r="U107" s="169" t="n"/>
      <c r="V107" s="169" t="n"/>
      <c r="W107" s="169" t="n"/>
      <c r="X107" s="169" t="n"/>
      <c r="Y107" s="85" t="n"/>
    </row>
    <row r="108">
      <c r="A108" s="109" t="n"/>
      <c r="B108" s="110" t="n"/>
      <c r="C108" s="110" t="n"/>
      <c r="D108" s="110" t="n"/>
      <c r="E108" s="110" t="n"/>
      <c r="F108" s="110" t="n"/>
      <c r="G108" s="110" t="n"/>
      <c r="H108" s="110" t="n"/>
      <c r="I108" s="110" t="n"/>
      <c r="J108" s="110" t="n"/>
      <c r="K108" s="110" t="n"/>
      <c r="L108" s="110" t="n"/>
      <c r="M108" s="110" t="n"/>
      <c r="N108" s="110" t="n"/>
      <c r="O108" s="110" t="n"/>
      <c r="P108" s="110" t="n"/>
      <c r="Q108" s="110" t="n"/>
      <c r="R108" s="110" t="n"/>
      <c r="S108" s="110" t="n"/>
      <c r="T108" s="110" t="n"/>
      <c r="U108" s="110" t="n"/>
      <c r="V108" s="110" t="n"/>
      <c r="W108" s="110" t="n"/>
      <c r="X108" s="110" t="n"/>
      <c r="Y108" s="111" t="n"/>
    </row>
  </sheetData>
  <mergeCells count="27">
    <mergeCell ref="C100:K100"/>
    <mergeCell ref="C94:K94"/>
    <mergeCell ref="C103:K103"/>
    <mergeCell ref="C93:K93"/>
    <mergeCell ref="C99:K99"/>
    <mergeCell ref="B6:K6"/>
    <mergeCell ref="C105:K105"/>
    <mergeCell ref="C90:K90"/>
    <mergeCell ref="C95:K95"/>
    <mergeCell ref="H8:K8"/>
    <mergeCell ref="B7:K7"/>
    <mergeCell ref="C106:K106"/>
    <mergeCell ref="C9:D9"/>
    <mergeCell ref="B8:F8"/>
    <mergeCell ref="E9:F9"/>
    <mergeCell ref="C91:K91"/>
    <mergeCell ref="C102:K102"/>
    <mergeCell ref="C96:K96"/>
    <mergeCell ref="C87:K87"/>
    <mergeCell ref="C101:K101"/>
    <mergeCell ref="C92:K92"/>
    <mergeCell ref="C86:K86"/>
    <mergeCell ref="C104:K104"/>
    <mergeCell ref="C89:K89"/>
    <mergeCell ref="C97:K97"/>
    <mergeCell ref="C88:K88"/>
    <mergeCell ref="I9:J9"/>
  </mergeCells>
  <hyperlinks>
    <hyperlink xmlns:r="http://schemas.openxmlformats.org/officeDocument/2006/relationships" ref="C87" r:id="rId1"/>
    <hyperlink xmlns:r="http://schemas.openxmlformats.org/officeDocument/2006/relationships" ref="C89" r:id="rId2"/>
    <hyperlink xmlns:r="http://schemas.openxmlformats.org/officeDocument/2006/relationships" ref="C91" r:id="rId3"/>
    <hyperlink xmlns:r="http://schemas.openxmlformats.org/officeDocument/2006/relationships" ref="C93" r:id="rId4"/>
    <hyperlink xmlns:r="http://schemas.openxmlformats.org/officeDocument/2006/relationships" ref="C95" r:id="rId5"/>
    <hyperlink xmlns:r="http://schemas.openxmlformats.org/officeDocument/2006/relationships" ref="C97" r:id="rId6"/>
    <hyperlink xmlns:r="http://schemas.openxmlformats.org/officeDocument/2006/relationships" ref="C104" r:id="rId7"/>
    <hyperlink xmlns:r="http://schemas.openxmlformats.org/officeDocument/2006/relationships" ref="C106" r:id="rId8"/>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X39"/>
  <sheetViews>
    <sheetView workbookViewId="0">
      <selection activeCell="A1" sqref="A1"/>
    </sheetView>
  </sheetViews>
  <sheetFormatPr baseColWidth="8" defaultColWidth="12.63" defaultRowHeight="15.75" customHeight="1"/>
  <sheetData>
    <row r="1">
      <c r="A1" s="112" t="inlineStr">
        <is>
          <t xml:space="preserve">Source: https://www.gov.uk/government/publications/greenhouse-gas-reporting-conversion-factors-2023 </t>
        </is>
      </c>
      <c r="B1" s="113" t="n"/>
      <c r="C1" s="113" t="n"/>
      <c r="D1" s="113" t="n"/>
      <c r="E1" s="113" t="n"/>
      <c r="F1" s="113" t="n"/>
      <c r="G1" s="113" t="n"/>
      <c r="H1" s="113" t="n"/>
      <c r="I1" s="114" t="n"/>
      <c r="J1" s="114" t="n"/>
      <c r="K1" s="114" t="n"/>
      <c r="L1" s="114" t="n"/>
      <c r="M1" s="114" t="n"/>
      <c r="N1" s="114" t="n"/>
      <c r="O1" s="114" t="n"/>
      <c r="P1" s="114" t="n"/>
      <c r="Q1" s="114" t="n"/>
      <c r="R1" s="114" t="n"/>
    </row>
    <row r="2">
      <c r="A2" s="115" t="n"/>
      <c r="B2" s="113" t="n"/>
      <c r="C2" s="113" t="n"/>
      <c r="D2" s="113" t="n"/>
      <c r="E2" s="113" t="n"/>
      <c r="F2" s="113" t="n"/>
      <c r="G2" s="113" t="n"/>
      <c r="H2" s="113" t="n"/>
      <c r="I2" s="114" t="n"/>
      <c r="J2" s="114" t="n"/>
      <c r="K2" s="114" t="n"/>
      <c r="L2" s="114" t="n"/>
      <c r="M2" s="114" t="n"/>
      <c r="N2" s="114" t="n"/>
      <c r="O2" s="114" t="n"/>
      <c r="P2" s="114" t="n"/>
      <c r="Q2" s="114" t="n"/>
      <c r="R2" s="114" t="n"/>
    </row>
    <row r="3">
      <c r="A3" s="115" t="n"/>
      <c r="B3" s="113" t="n"/>
      <c r="C3" s="113" t="n"/>
      <c r="D3" s="113" t="n"/>
      <c r="E3" s="113" t="n"/>
      <c r="F3" s="113" t="n"/>
      <c r="G3" s="113" t="n"/>
      <c r="H3" s="113" t="n"/>
      <c r="I3" s="114" t="n"/>
      <c r="J3" s="114" t="n"/>
      <c r="K3" s="114" t="n"/>
      <c r="L3" s="114" t="n"/>
      <c r="M3" s="114" t="n"/>
      <c r="N3" s="114" t="n"/>
      <c r="O3" s="114" t="n"/>
      <c r="P3" s="114" t="n"/>
      <c r="Q3" s="114" t="n"/>
      <c r="R3" s="114" t="n"/>
    </row>
    <row r="4">
      <c r="A4" s="116" t="inlineStr">
        <is>
          <t>Activity</t>
        </is>
      </c>
      <c r="B4" s="117" t="inlineStr">
        <is>
          <t>Country</t>
        </is>
      </c>
      <c r="C4" s="117" t="inlineStr">
        <is>
          <t>Unit</t>
        </is>
      </c>
      <c r="D4" s="118" t="inlineStr">
        <is>
          <t>Year</t>
        </is>
      </c>
      <c r="E4" s="119" t="inlineStr">
        <is>
          <t>kg CO2e</t>
        </is>
      </c>
      <c r="F4" s="119" t="inlineStr">
        <is>
          <t>kg CO2e of CO2 per unit</t>
        </is>
      </c>
      <c r="G4" s="119" t="inlineStr">
        <is>
          <t>kg CO2e of CH4 per unit</t>
        </is>
      </c>
      <c r="H4" s="119" t="inlineStr">
        <is>
          <t>kg CO2e of N2O per unit</t>
        </is>
      </c>
      <c r="I4" s="120" t="n"/>
      <c r="J4" s="121" t="n"/>
      <c r="K4" s="121" t="n"/>
      <c r="L4" s="121" t="n"/>
      <c r="M4" s="121" t="n"/>
      <c r="N4" s="121" t="n"/>
      <c r="O4" s="121" t="n"/>
      <c r="P4" s="121" t="n"/>
      <c r="Q4" s="121" t="n"/>
      <c r="R4" s="122" t="n"/>
    </row>
    <row r="5">
      <c r="A5" s="119" t="inlineStr">
        <is>
          <t>Electricity generated</t>
        </is>
      </c>
      <c r="B5" s="118" t="inlineStr">
        <is>
          <t>Electricity: UK</t>
        </is>
      </c>
      <c r="C5" s="118" t="inlineStr">
        <is>
          <t>kWh</t>
        </is>
      </c>
      <c r="D5" s="117" t="n">
        <v>2023</v>
      </c>
      <c r="E5" s="123" t="n">
        <v>0.207074</v>
      </c>
      <c r="F5" s="123" t="n">
        <v>0.20496</v>
      </c>
      <c r="G5" s="123" t="n">
        <v>0.000896</v>
      </c>
      <c r="H5" s="123" t="n">
        <v>0.001218</v>
      </c>
      <c r="I5" s="120" t="n"/>
      <c r="J5" s="121" t="n"/>
      <c r="K5" s="121" t="n"/>
      <c r="L5" s="121" t="n"/>
      <c r="M5" s="121" t="n"/>
      <c r="N5" s="121" t="n"/>
      <c r="O5" s="121" t="n"/>
      <c r="P5" s="121" t="n"/>
      <c r="Q5" s="121" t="n"/>
      <c r="R5" s="122" t="n"/>
    </row>
    <row r="7">
      <c r="A7" s="124" t="inlineStr">
        <is>
          <t>Activity</t>
        </is>
      </c>
      <c r="B7" s="125" t="inlineStr">
        <is>
          <t>Fuel</t>
        </is>
      </c>
      <c r="C7" s="125" t="inlineStr">
        <is>
          <t>Unit</t>
        </is>
      </c>
      <c r="D7" s="119" t="inlineStr">
        <is>
          <t>kg CO2e</t>
        </is>
      </c>
      <c r="E7" s="119" t="inlineStr">
        <is>
          <t>kg CO2e of CO2 per unit</t>
        </is>
      </c>
      <c r="F7" s="119" t="inlineStr">
        <is>
          <t>kg CO2e of CH4 per unit</t>
        </is>
      </c>
      <c r="G7" s="119" t="inlineStr">
        <is>
          <t>kg CO2e of N2O per unit</t>
        </is>
      </c>
      <c r="H7" s="120" t="n"/>
      <c r="I7" s="96" t="n"/>
      <c r="J7" s="96" t="n"/>
      <c r="K7" s="96" t="n"/>
      <c r="L7" s="96" t="n"/>
      <c r="M7" s="169" t="n"/>
      <c r="N7" s="121" t="n"/>
      <c r="O7" s="121" t="n"/>
      <c r="P7" s="121" t="n"/>
      <c r="Q7" s="121" t="n"/>
      <c r="R7" s="121" t="n"/>
      <c r="S7" s="121" t="n"/>
      <c r="T7" s="121" t="n"/>
      <c r="U7" s="121" t="n"/>
      <c r="V7" s="121" t="n"/>
      <c r="W7" s="121" t="n"/>
      <c r="X7" s="122" t="n"/>
    </row>
    <row r="8">
      <c r="A8" s="290" t="inlineStr">
        <is>
          <t>Gaseous fuels</t>
        </is>
      </c>
      <c r="B8" s="291" t="inlineStr">
        <is>
          <t>Butane</t>
        </is>
      </c>
      <c r="C8" s="119" t="inlineStr">
        <is>
          <t>tonnes</t>
        </is>
      </c>
      <c r="D8" s="128" t="n">
        <v>3033.38</v>
      </c>
      <c r="E8" s="128" t="n">
        <v>3029.26</v>
      </c>
      <c r="F8" s="123" t="n">
        <v>2.52</v>
      </c>
      <c r="G8" s="123" t="n">
        <v>1.6</v>
      </c>
      <c r="H8" s="129" t="n"/>
      <c r="I8" s="96" t="n"/>
      <c r="J8" s="96" t="n"/>
      <c r="K8" s="96" t="n"/>
      <c r="L8" s="96" t="n"/>
      <c r="M8" s="169" t="n"/>
      <c r="N8" s="121" t="n"/>
      <c r="O8" s="121" t="n"/>
      <c r="P8" s="121" t="n"/>
      <c r="Q8" s="121" t="n"/>
      <c r="R8" s="121" t="n"/>
      <c r="S8" s="121" t="n"/>
      <c r="T8" s="121" t="n"/>
      <c r="U8" s="121" t="n"/>
      <c r="V8" s="121" t="n"/>
      <c r="W8" s="121" t="n"/>
      <c r="X8" s="122" t="n"/>
    </row>
    <row r="9">
      <c r="A9" s="292" t="n"/>
      <c r="B9" s="293" t="n"/>
      <c r="C9" s="119" t="inlineStr">
        <is>
          <t>litres</t>
        </is>
      </c>
      <c r="D9" s="123" t="n">
        <v>1.75</v>
      </c>
      <c r="E9" s="123" t="n">
        <v>1.74</v>
      </c>
      <c r="F9" s="123" t="n">
        <v>0</v>
      </c>
      <c r="G9" s="123" t="n">
        <v>0</v>
      </c>
      <c r="H9" s="129" t="n"/>
      <c r="I9" s="96" t="n"/>
      <c r="J9" s="96" t="n"/>
      <c r="K9" s="96" t="n"/>
      <c r="L9" s="96" t="n"/>
      <c r="M9" s="169" t="n"/>
      <c r="N9" s="121" t="n"/>
      <c r="O9" s="121" t="n"/>
      <c r="P9" s="121" t="n"/>
      <c r="Q9" s="121" t="n"/>
      <c r="R9" s="121" t="n"/>
      <c r="S9" s="121" t="n"/>
      <c r="T9" s="121" t="n"/>
      <c r="U9" s="121" t="n"/>
      <c r="V9" s="121" t="n"/>
      <c r="W9" s="121" t="n"/>
      <c r="X9" s="122" t="n"/>
    </row>
    <row r="10">
      <c r="A10" s="292" t="n"/>
      <c r="B10" s="293" t="n"/>
      <c r="C10" s="119" t="inlineStr">
        <is>
          <t>kWh (Net CV)</t>
        </is>
      </c>
      <c r="D10" s="123" t="n">
        <v>0.24</v>
      </c>
      <c r="E10" s="123" t="n">
        <v>0.24</v>
      </c>
      <c r="F10" s="123" t="n">
        <v>0</v>
      </c>
      <c r="G10" s="123" t="n">
        <v>0</v>
      </c>
      <c r="H10" s="129" t="n"/>
      <c r="I10" s="96" t="n"/>
      <c r="J10" s="96" t="n"/>
      <c r="K10" s="96" t="n"/>
      <c r="L10" s="96" t="n"/>
      <c r="M10" s="169" t="n"/>
      <c r="N10" s="121" t="n"/>
      <c r="O10" s="121" t="n"/>
      <c r="P10" s="121" t="n"/>
      <c r="Q10" s="121" t="n"/>
      <c r="R10" s="121" t="n"/>
      <c r="S10" s="121" t="n"/>
      <c r="T10" s="121" t="n"/>
      <c r="U10" s="121" t="n"/>
      <c r="V10" s="121" t="n"/>
      <c r="W10" s="121" t="n"/>
      <c r="X10" s="122" t="n"/>
    </row>
    <row r="11">
      <c r="A11" s="292" t="n"/>
      <c r="B11" s="294" t="n"/>
      <c r="C11" s="119" t="inlineStr">
        <is>
          <t>kWh (Gross CV)</t>
        </is>
      </c>
      <c r="D11" s="123" t="n">
        <v>0.22</v>
      </c>
      <c r="E11" s="123" t="n">
        <v>0.22</v>
      </c>
      <c r="F11" s="123" t="n">
        <v>0</v>
      </c>
      <c r="G11" s="123" t="n">
        <v>0</v>
      </c>
      <c r="H11" s="129" t="n"/>
      <c r="I11" s="96" t="n"/>
      <c r="J11" s="96" t="n"/>
      <c r="K11" s="96" t="n"/>
      <c r="L11" s="96" t="n"/>
      <c r="M11" s="169" t="n"/>
      <c r="N11" s="121" t="n"/>
      <c r="O11" s="121" t="n"/>
      <c r="P11" s="121" t="n"/>
      <c r="Q11" s="121" t="n"/>
      <c r="R11" s="121" t="n"/>
      <c r="S11" s="121" t="n"/>
      <c r="T11" s="121" t="n"/>
      <c r="U11" s="121" t="n"/>
      <c r="V11" s="121" t="n"/>
      <c r="W11" s="121" t="n"/>
      <c r="X11" s="122" t="n"/>
    </row>
    <row r="12">
      <c r="A12" s="292" t="n"/>
      <c r="B12" s="291" t="inlineStr">
        <is>
          <t>CNG</t>
        </is>
      </c>
      <c r="C12" s="119" t="inlineStr">
        <is>
          <t>tonnes</t>
        </is>
      </c>
      <c r="D12" s="128" t="n">
        <v>2562.57</v>
      </c>
      <c r="E12" s="128" t="n">
        <v>2557.53</v>
      </c>
      <c r="F12" s="123" t="n">
        <v>3.85</v>
      </c>
      <c r="G12" s="123" t="n">
        <v>1.19</v>
      </c>
      <c r="H12" s="129" t="n"/>
      <c r="I12" s="121" t="n"/>
      <c r="J12" s="121" t="n"/>
      <c r="K12" s="121" t="n"/>
      <c r="L12" s="121" t="n"/>
      <c r="M12" s="121" t="n"/>
      <c r="N12" s="121" t="n"/>
      <c r="O12" s="121" t="n"/>
      <c r="P12" s="121" t="n"/>
      <c r="Q12" s="121" t="n"/>
      <c r="R12" s="121" t="n"/>
      <c r="S12" s="121" t="n"/>
      <c r="T12" s="121" t="n"/>
      <c r="U12" s="121" t="n"/>
      <c r="V12" s="121" t="n"/>
      <c r="W12" s="121" t="n"/>
      <c r="X12" s="122" t="n"/>
    </row>
    <row r="13">
      <c r="A13" s="292" t="n"/>
      <c r="B13" s="293" t="n"/>
      <c r="C13" s="119" t="inlineStr">
        <is>
          <t>litres</t>
        </is>
      </c>
      <c r="D13" s="123" t="n">
        <v>0.45</v>
      </c>
      <c r="E13" s="123" t="n">
        <v>0.44757</v>
      </c>
      <c r="F13" s="123" t="n">
        <v>0.00067</v>
      </c>
      <c r="G13" s="123" t="n">
        <v>0.0002</v>
      </c>
      <c r="H13" s="129" t="n"/>
      <c r="I13" s="121" t="n"/>
      <c r="J13" s="121" t="n"/>
      <c r="K13" s="121" t="n"/>
      <c r="L13" s="121" t="n"/>
      <c r="M13" s="121" t="n"/>
      <c r="N13" s="121" t="n"/>
      <c r="O13" s="121" t="n"/>
      <c r="P13" s="121" t="n"/>
      <c r="Q13" s="121" t="n"/>
      <c r="R13" s="121" t="n"/>
      <c r="S13" s="121" t="n"/>
      <c r="T13" s="121" t="n"/>
      <c r="U13" s="121" t="n"/>
      <c r="V13" s="121" t="n"/>
      <c r="W13" s="121" t="n"/>
      <c r="X13" s="122" t="n"/>
    </row>
    <row r="14">
      <c r="A14" s="292" t="n"/>
      <c r="B14" s="293" t="n"/>
      <c r="C14" s="119" t="inlineStr">
        <is>
          <t>kWh (Net CV)</t>
        </is>
      </c>
      <c r="D14" s="123" t="n">
        <v>0.2</v>
      </c>
      <c r="E14" s="123" t="n">
        <v>0.20226</v>
      </c>
      <c r="F14" s="123" t="n">
        <v>0.00031</v>
      </c>
      <c r="G14" s="123" t="n">
        <v>0.0001</v>
      </c>
      <c r="H14" s="129" t="n"/>
      <c r="I14" s="121" t="n"/>
      <c r="J14" s="121" t="n"/>
      <c r="K14" s="121" t="n"/>
      <c r="L14" s="121" t="n"/>
      <c r="M14" s="121" t="n"/>
      <c r="N14" s="121" t="n"/>
      <c r="O14" s="121" t="n"/>
      <c r="P14" s="121" t="n"/>
      <c r="Q14" s="121" t="n"/>
      <c r="R14" s="121" t="n"/>
      <c r="S14" s="121" t="n"/>
      <c r="T14" s="121" t="n"/>
      <c r="U14" s="121" t="n"/>
      <c r="V14" s="121" t="n"/>
      <c r="W14" s="121" t="n"/>
      <c r="X14" s="122" t="n"/>
    </row>
    <row r="15">
      <c r="A15" s="292" t="n"/>
      <c r="B15" s="294" t="n"/>
      <c r="C15" s="119" t="inlineStr">
        <is>
          <t>kWh (Gross CV)</t>
        </is>
      </c>
      <c r="D15" s="123" t="n">
        <v>0.18</v>
      </c>
      <c r="E15" s="123" t="n">
        <v>0.18256</v>
      </c>
      <c r="F15" s="123" t="n">
        <v>0.00028</v>
      </c>
      <c r="G15" s="123" t="n">
        <v>9.000000000000001e-05</v>
      </c>
      <c r="H15" s="129" t="n"/>
      <c r="I15" s="121" t="n"/>
      <c r="J15" s="121" t="n"/>
      <c r="K15" s="121" t="n"/>
      <c r="L15" s="121" t="n"/>
      <c r="M15" s="121" t="n"/>
      <c r="N15" s="121" t="n"/>
      <c r="O15" s="121" t="n"/>
      <c r="P15" s="121" t="n"/>
      <c r="Q15" s="121" t="n"/>
      <c r="R15" s="121" t="n"/>
      <c r="S15" s="121" t="n"/>
      <c r="T15" s="121" t="n"/>
      <c r="U15" s="121" t="n"/>
      <c r="V15" s="121" t="n"/>
      <c r="W15" s="121" t="n"/>
      <c r="X15" s="122" t="n"/>
    </row>
    <row r="16">
      <c r="A16" s="292" t="n"/>
      <c r="B16" s="291" t="inlineStr">
        <is>
          <t>LNG</t>
        </is>
      </c>
      <c r="C16" s="119" t="inlineStr">
        <is>
          <t>tonnes</t>
        </is>
      </c>
      <c r="D16" s="128" t="n">
        <v>2581.98</v>
      </c>
      <c r="E16" s="128" t="n">
        <v>2576.94</v>
      </c>
      <c r="F16" s="123" t="n">
        <v>3.85</v>
      </c>
      <c r="G16" s="123" t="n">
        <v>1.19</v>
      </c>
      <c r="H16" s="129" t="n"/>
      <c r="I16" s="121" t="n"/>
      <c r="J16" s="121" t="n"/>
      <c r="K16" s="121" t="n"/>
      <c r="L16" s="121" t="n"/>
      <c r="M16" s="121" t="n"/>
      <c r="N16" s="121" t="n"/>
      <c r="O16" s="121" t="n"/>
      <c r="P16" s="121" t="n"/>
      <c r="Q16" s="121" t="n"/>
      <c r="R16" s="121" t="n"/>
      <c r="S16" s="121" t="n"/>
      <c r="T16" s="121" t="n"/>
      <c r="U16" s="121" t="n"/>
      <c r="V16" s="121" t="n"/>
      <c r="W16" s="121" t="n"/>
      <c r="X16" s="122" t="n"/>
    </row>
    <row r="17">
      <c r="A17" s="292" t="n"/>
      <c r="B17" s="293" t="n"/>
      <c r="C17" s="119" t="inlineStr">
        <is>
          <t>litres</t>
        </is>
      </c>
      <c r="D17" s="123" t="n">
        <v>1.17</v>
      </c>
      <c r="E17" s="123" t="n">
        <v>1.16604</v>
      </c>
      <c r="F17" s="123" t="n">
        <v>0.00175</v>
      </c>
      <c r="G17" s="123" t="n">
        <v>0.00054</v>
      </c>
      <c r="H17" s="129" t="n"/>
      <c r="I17" s="121" t="n"/>
      <c r="J17" s="121" t="n"/>
      <c r="K17" s="121" t="n"/>
      <c r="L17" s="121" t="n"/>
      <c r="M17" s="121" t="n"/>
      <c r="N17" s="121" t="n"/>
      <c r="O17" s="121" t="n"/>
      <c r="P17" s="121" t="n"/>
      <c r="Q17" s="121" t="n"/>
      <c r="R17" s="121" t="n"/>
      <c r="S17" s="121" t="n"/>
      <c r="T17" s="121" t="n"/>
      <c r="U17" s="121" t="n"/>
      <c r="V17" s="121" t="n"/>
      <c r="W17" s="121" t="n"/>
      <c r="X17" s="122" t="n"/>
    </row>
    <row r="18">
      <c r="A18" s="292" t="n"/>
      <c r="B18" s="293" t="n"/>
      <c r="C18" s="119" t="inlineStr">
        <is>
          <t>kWh (Net CV)</t>
        </is>
      </c>
      <c r="D18" s="123" t="n">
        <v>0.2</v>
      </c>
      <c r="E18" s="133" t="n">
        <v>0.20379</v>
      </c>
      <c r="F18" s="123" t="n">
        <v>0.00031</v>
      </c>
      <c r="G18" s="123" t="n">
        <v>0.0001</v>
      </c>
      <c r="H18" s="129" t="n"/>
      <c r="I18" s="121" t="n"/>
      <c r="J18" s="121" t="n"/>
      <c r="K18" s="121" t="n"/>
      <c r="L18" s="121" t="n"/>
      <c r="M18" s="121" t="n"/>
      <c r="N18" s="121" t="n"/>
      <c r="O18" s="121" t="n"/>
      <c r="P18" s="121" t="n"/>
      <c r="Q18" s="121" t="n"/>
      <c r="R18" s="121" t="n"/>
      <c r="S18" s="121" t="n"/>
      <c r="T18" s="121" t="n"/>
      <c r="U18" s="121" t="n"/>
      <c r="V18" s="121" t="n"/>
      <c r="W18" s="121" t="n"/>
      <c r="X18" s="122" t="n"/>
    </row>
    <row r="19">
      <c r="A19" s="292" t="n"/>
      <c r="B19" s="294" t="n"/>
      <c r="C19" s="119" t="inlineStr">
        <is>
          <t>kWh (Gross CV)</t>
        </is>
      </c>
      <c r="D19" s="123" t="n">
        <v>0.18</v>
      </c>
      <c r="E19" s="123" t="n">
        <v>0.18395</v>
      </c>
      <c r="F19" s="123" t="n">
        <v>0.00028</v>
      </c>
      <c r="G19" s="123" t="n">
        <v>9.000000000000001e-05</v>
      </c>
      <c r="H19" s="129" t="n"/>
      <c r="I19" s="121" t="n"/>
      <c r="J19" s="121" t="n"/>
      <c r="K19" s="121" t="n"/>
      <c r="L19" s="121" t="n"/>
      <c r="M19" s="121" t="n"/>
      <c r="N19" s="121" t="n"/>
      <c r="O19" s="121" t="n"/>
      <c r="P19" s="121" t="n"/>
      <c r="Q19" s="121" t="n"/>
      <c r="R19" s="121" t="n"/>
      <c r="S19" s="121" t="n"/>
      <c r="T19" s="121" t="n"/>
      <c r="U19" s="121" t="n"/>
      <c r="V19" s="121" t="n"/>
      <c r="W19" s="121" t="n"/>
      <c r="X19" s="122" t="n"/>
    </row>
    <row r="20">
      <c r="A20" s="292" t="n"/>
      <c r="B20" s="291" t="inlineStr">
        <is>
          <t>LPG</t>
        </is>
      </c>
      <c r="C20" s="119" t="inlineStr">
        <is>
          <t>tonnes</t>
        </is>
      </c>
      <c r="D20" s="128" t="n">
        <v>2939.36</v>
      </c>
      <c r="E20" s="128" t="n">
        <v>2935.18</v>
      </c>
      <c r="F20" s="123" t="n">
        <v>2.55</v>
      </c>
      <c r="G20" s="123" t="n">
        <v>1.63</v>
      </c>
      <c r="H20" s="129" t="n"/>
      <c r="I20" s="121" t="n"/>
      <c r="J20" s="121" t="n"/>
      <c r="K20" s="121" t="n"/>
      <c r="L20" s="121" t="n"/>
      <c r="M20" s="121" t="n"/>
      <c r="N20" s="121" t="n"/>
      <c r="O20" s="121" t="n"/>
      <c r="P20" s="121" t="n"/>
      <c r="Q20" s="121" t="n"/>
      <c r="R20" s="121" t="n"/>
      <c r="S20" s="121" t="n"/>
      <c r="T20" s="121" t="n"/>
      <c r="U20" s="121" t="n"/>
      <c r="V20" s="121" t="n"/>
      <c r="W20" s="121" t="n"/>
      <c r="X20" s="122" t="n"/>
    </row>
    <row r="21">
      <c r="A21" s="292" t="n"/>
      <c r="B21" s="293" t="n"/>
      <c r="C21" s="119" t="inlineStr">
        <is>
          <t>litres</t>
        </is>
      </c>
      <c r="D21" s="123" t="n">
        <v>1.56</v>
      </c>
      <c r="E21" s="123" t="n">
        <v>1.55491</v>
      </c>
      <c r="F21" s="123" t="n">
        <v>0.00136</v>
      </c>
      <c r="G21" s="123" t="n">
        <v>0.00086</v>
      </c>
      <c r="H21" s="129" t="n"/>
      <c r="I21" s="121" t="n"/>
      <c r="J21" s="121" t="n"/>
      <c r="K21" s="121" t="n"/>
      <c r="L21" s="121" t="n"/>
      <c r="M21" s="121" t="n"/>
      <c r="N21" s="121" t="n"/>
      <c r="O21" s="121" t="n"/>
      <c r="P21" s="121" t="n"/>
      <c r="Q21" s="121" t="n"/>
      <c r="R21" s="121" t="n"/>
      <c r="S21" s="121" t="n"/>
      <c r="T21" s="121" t="n"/>
      <c r="U21" s="121" t="n"/>
      <c r="V21" s="121" t="n"/>
      <c r="W21" s="121" t="n"/>
      <c r="X21" s="122" t="n"/>
    </row>
    <row r="22">
      <c r="A22" s="292" t="n"/>
      <c r="B22" s="293" t="n"/>
      <c r="C22" s="119" t="inlineStr">
        <is>
          <t>kWh (Net CV)</t>
        </is>
      </c>
      <c r="D22" s="123" t="n">
        <v>0.23</v>
      </c>
      <c r="E22" s="123" t="n">
        <v>0.22999</v>
      </c>
      <c r="F22" s="123" t="n">
        <v>0.0002</v>
      </c>
      <c r="G22" s="123" t="n">
        <v>0.00012</v>
      </c>
      <c r="H22" s="129" t="n"/>
      <c r="I22" s="121" t="n"/>
      <c r="J22" s="121" t="n"/>
      <c r="K22" s="121" t="n"/>
      <c r="L22" s="121" t="n"/>
      <c r="M22" s="121" t="n"/>
      <c r="N22" s="121" t="n"/>
      <c r="O22" s="121" t="n"/>
      <c r="P22" s="121" t="n"/>
      <c r="Q22" s="121" t="n"/>
      <c r="R22" s="121" t="n"/>
      <c r="S22" s="121" t="n"/>
      <c r="T22" s="121" t="n"/>
      <c r="U22" s="121" t="n"/>
      <c r="V22" s="121" t="n"/>
      <c r="W22" s="121" t="n"/>
      <c r="X22" s="122" t="n"/>
    </row>
    <row r="23">
      <c r="A23" s="292" t="n"/>
      <c r="B23" s="294" t="n"/>
      <c r="C23" s="119" t="inlineStr">
        <is>
          <t>kWh (Gross CV)</t>
        </is>
      </c>
      <c r="D23" s="123" t="n">
        <v>0.21</v>
      </c>
      <c r="E23" s="123" t="n">
        <v>0.21419</v>
      </c>
      <c r="F23" s="123" t="n">
        <v>0.00019</v>
      </c>
      <c r="G23" s="123" t="n">
        <v>0.00012</v>
      </c>
      <c r="H23" s="129" t="n"/>
      <c r="I23" s="121" t="n"/>
      <c r="J23" s="121" t="n"/>
      <c r="K23" s="121" t="n"/>
      <c r="L23" s="121" t="n"/>
      <c r="M23" s="121" t="n"/>
      <c r="N23" s="121" t="n"/>
      <c r="O23" s="121" t="n"/>
      <c r="P23" s="121" t="n"/>
      <c r="Q23" s="121" t="n"/>
      <c r="R23" s="121" t="n"/>
      <c r="S23" s="121" t="n"/>
      <c r="T23" s="121" t="n"/>
      <c r="U23" s="121" t="n"/>
      <c r="V23" s="121" t="n"/>
      <c r="W23" s="121" t="n"/>
      <c r="X23" s="122" t="n"/>
    </row>
    <row r="24">
      <c r="A24" s="292" t="n"/>
      <c r="B24" s="291" t="inlineStr">
        <is>
          <t>Natural gas</t>
        </is>
      </c>
      <c r="C24" s="119" t="inlineStr">
        <is>
          <t>tonnes</t>
        </is>
      </c>
      <c r="D24" s="128" t="n">
        <v>2562.57</v>
      </c>
      <c r="E24" s="128" t="n">
        <v>2557.53</v>
      </c>
      <c r="F24" s="123" t="n">
        <v>3.85</v>
      </c>
      <c r="G24" s="123" t="n">
        <v>1.19</v>
      </c>
      <c r="H24" s="129" t="n"/>
      <c r="I24" s="121" t="n"/>
      <c r="J24" s="121" t="n"/>
      <c r="K24" s="121" t="n"/>
      <c r="L24" s="121" t="n"/>
      <c r="M24" s="121" t="n"/>
      <c r="N24" s="121" t="n"/>
      <c r="O24" s="121" t="n"/>
      <c r="P24" s="121" t="n"/>
      <c r="Q24" s="121" t="n"/>
      <c r="R24" s="121" t="n"/>
      <c r="S24" s="121" t="n"/>
      <c r="T24" s="121" t="n"/>
      <c r="U24" s="121" t="n"/>
      <c r="V24" s="121" t="n"/>
      <c r="W24" s="121" t="n"/>
      <c r="X24" s="122" t="n"/>
    </row>
    <row r="25">
      <c r="A25" s="292" t="n"/>
      <c r="B25" s="293" t="n"/>
      <c r="C25" s="119" t="inlineStr">
        <is>
          <t>cubic metres</t>
        </is>
      </c>
      <c r="D25" s="123" t="n">
        <v>2.04</v>
      </c>
      <c r="E25" s="123" t="n">
        <v>2.03437</v>
      </c>
      <c r="F25" s="123" t="n">
        <v>0.00307</v>
      </c>
      <c r="G25" s="123" t="n">
        <v>0.00095</v>
      </c>
      <c r="H25" s="129" t="n"/>
      <c r="I25" s="121" t="n"/>
      <c r="J25" s="121" t="n"/>
      <c r="K25" s="121" t="n"/>
      <c r="L25" s="121" t="n"/>
      <c r="M25" s="121" t="n"/>
      <c r="N25" s="121" t="n"/>
      <c r="O25" s="121" t="n"/>
      <c r="P25" s="121" t="n"/>
      <c r="Q25" s="121" t="n"/>
      <c r="R25" s="121" t="n"/>
      <c r="S25" s="121" t="n"/>
      <c r="T25" s="121" t="n"/>
      <c r="U25" s="121" t="n"/>
      <c r="V25" s="121" t="n"/>
      <c r="W25" s="121" t="n"/>
      <c r="X25" s="122" t="n"/>
    </row>
    <row r="26">
      <c r="A26" s="292" t="n"/>
      <c r="B26" s="293" t="n"/>
      <c r="C26" s="119" t="inlineStr">
        <is>
          <t>kWh (Net CV)</t>
        </is>
      </c>
      <c r="D26" s="123" t="n">
        <v>0.2</v>
      </c>
      <c r="E26" s="123" t="n">
        <v>0.20226</v>
      </c>
      <c r="F26" s="123" t="n">
        <v>0.00031</v>
      </c>
      <c r="G26" s="123" t="n">
        <v>0.0001</v>
      </c>
      <c r="H26" s="129" t="n"/>
      <c r="I26" s="121" t="n"/>
      <c r="J26" s="121" t="n"/>
      <c r="K26" s="121" t="n"/>
      <c r="L26" s="121" t="n"/>
      <c r="M26" s="121" t="n"/>
      <c r="N26" s="121" t="n"/>
      <c r="O26" s="121" t="n"/>
      <c r="P26" s="121" t="n"/>
      <c r="Q26" s="121" t="n"/>
      <c r="R26" s="121" t="n"/>
      <c r="S26" s="121" t="n"/>
      <c r="T26" s="121" t="n"/>
      <c r="U26" s="121" t="n"/>
      <c r="V26" s="121" t="n"/>
      <c r="W26" s="121" t="n"/>
      <c r="X26" s="122" t="n"/>
    </row>
    <row r="27">
      <c r="A27" s="292" t="n"/>
      <c r="B27" s="294" t="n"/>
      <c r="C27" s="119" t="inlineStr">
        <is>
          <t>kWh (Gross CV)</t>
        </is>
      </c>
      <c r="D27" s="123" t="n">
        <v>0.18</v>
      </c>
      <c r="E27" s="123" t="n">
        <v>0.18256</v>
      </c>
      <c r="F27" s="123" t="n">
        <v>0.00028</v>
      </c>
      <c r="G27" s="123" t="n">
        <v>9.000000000000001e-05</v>
      </c>
      <c r="H27" s="129" t="n"/>
      <c r="I27" s="121" t="n"/>
      <c r="J27" s="121" t="n"/>
      <c r="K27" s="121" t="n"/>
      <c r="L27" s="121" t="n"/>
      <c r="M27" s="121" t="n"/>
      <c r="N27" s="121" t="n"/>
      <c r="O27" s="121" t="n"/>
      <c r="P27" s="121" t="n"/>
      <c r="Q27" s="121" t="n"/>
      <c r="R27" s="121" t="n"/>
      <c r="S27" s="121" t="n"/>
      <c r="T27" s="121" t="n"/>
      <c r="U27" s="121" t="n"/>
      <c r="V27" s="121" t="n"/>
      <c r="W27" s="121" t="n"/>
      <c r="X27" s="122" t="n"/>
    </row>
    <row r="28">
      <c r="A28" s="292" t="n"/>
      <c r="B28" s="291" t="inlineStr">
        <is>
          <t>Natural gas (100% mineral blend)</t>
        </is>
      </c>
      <c r="C28" s="119" t="inlineStr">
        <is>
          <t>tonnes</t>
        </is>
      </c>
      <c r="D28" s="128" t="n">
        <v>2581.98</v>
      </c>
      <c r="E28" s="128" t="n">
        <v>2576.94</v>
      </c>
      <c r="F28" s="123" t="n">
        <v>3.85</v>
      </c>
      <c r="G28" s="123" t="n">
        <v>1.19</v>
      </c>
      <c r="H28" s="129" t="n"/>
      <c r="I28" s="121" t="n"/>
      <c r="J28" s="121" t="n"/>
      <c r="K28" s="121" t="n"/>
      <c r="L28" s="121" t="n"/>
      <c r="M28" s="121" t="n"/>
      <c r="N28" s="121" t="n"/>
      <c r="O28" s="121" t="n"/>
      <c r="P28" s="121" t="n"/>
      <c r="Q28" s="121" t="n"/>
      <c r="R28" s="121" t="n"/>
      <c r="S28" s="121" t="n"/>
      <c r="T28" s="121" t="n"/>
      <c r="U28" s="121" t="n"/>
      <c r="V28" s="121" t="n"/>
      <c r="W28" s="121" t="n"/>
      <c r="X28" s="122" t="n"/>
    </row>
    <row r="29">
      <c r="A29" s="292" t="n"/>
      <c r="B29" s="293" t="n"/>
      <c r="C29" s="119" t="inlineStr">
        <is>
          <t>cubic metres</t>
        </is>
      </c>
      <c r="D29" s="123" t="n">
        <v>2.05</v>
      </c>
      <c r="E29" s="123" t="n">
        <v>2.04981</v>
      </c>
      <c r="F29" s="123" t="n">
        <v>0.00307</v>
      </c>
      <c r="G29" s="123" t="n">
        <v>0.00095</v>
      </c>
      <c r="H29" s="129" t="n"/>
      <c r="I29" s="121" t="n"/>
      <c r="J29" s="121" t="n"/>
      <c r="K29" s="121" t="n"/>
      <c r="L29" s="121" t="n"/>
      <c r="M29" s="121" t="n"/>
      <c r="N29" s="121" t="n"/>
      <c r="O29" s="121" t="n"/>
      <c r="P29" s="121" t="n"/>
      <c r="Q29" s="121" t="n"/>
      <c r="R29" s="121" t="n"/>
      <c r="S29" s="121" t="n"/>
      <c r="T29" s="121" t="n"/>
      <c r="U29" s="121" t="n"/>
      <c r="V29" s="121" t="n"/>
      <c r="W29" s="121" t="n"/>
      <c r="X29" s="122" t="n"/>
    </row>
    <row r="30">
      <c r="A30" s="292" t="n"/>
      <c r="B30" s="293" t="n"/>
      <c r="C30" s="119" t="inlineStr">
        <is>
          <t>kWh (Net CV)</t>
        </is>
      </c>
      <c r="D30" s="123" t="n">
        <v>0.2</v>
      </c>
      <c r="E30" s="123" t="n">
        <v>0.20379</v>
      </c>
      <c r="F30" s="123" t="n">
        <v>0.00031</v>
      </c>
      <c r="G30" s="123" t="n">
        <v>0.0001</v>
      </c>
      <c r="H30" s="129" t="n"/>
      <c r="I30" s="121" t="n"/>
      <c r="J30" s="121" t="n"/>
      <c r="K30" s="121" t="n"/>
      <c r="L30" s="121" t="n"/>
      <c r="M30" s="121" t="n"/>
      <c r="N30" s="121" t="n"/>
      <c r="O30" s="121" t="n"/>
      <c r="P30" s="121" t="n"/>
      <c r="Q30" s="121" t="n"/>
      <c r="R30" s="121" t="n"/>
      <c r="S30" s="121" t="n"/>
      <c r="T30" s="121" t="n"/>
      <c r="U30" s="121" t="n"/>
      <c r="V30" s="121" t="n"/>
      <c r="W30" s="121" t="n"/>
      <c r="X30" s="122" t="n"/>
    </row>
    <row r="31">
      <c r="A31" s="292" t="n"/>
      <c r="B31" s="294" t="n"/>
      <c r="C31" s="119" t="inlineStr">
        <is>
          <t>kWh (Gross CV)</t>
        </is>
      </c>
      <c r="D31" s="123" t="n">
        <v>0.18</v>
      </c>
      <c r="E31" s="123" t="n">
        <v>0.18395</v>
      </c>
      <c r="F31" s="123" t="n">
        <v>0.00028</v>
      </c>
      <c r="G31" s="123" t="n">
        <v>9.000000000000001e-05</v>
      </c>
      <c r="H31" s="129" t="n"/>
      <c r="I31" s="121" t="n"/>
      <c r="J31" s="121" t="n"/>
      <c r="K31" s="121" t="n"/>
      <c r="L31" s="121" t="n"/>
      <c r="M31" s="121" t="n"/>
      <c r="N31" s="121" t="n"/>
      <c r="O31" s="121" t="n"/>
      <c r="P31" s="121" t="n"/>
      <c r="Q31" s="121" t="n"/>
      <c r="R31" s="121" t="n"/>
      <c r="S31" s="121" t="n"/>
      <c r="T31" s="121" t="n"/>
      <c r="U31" s="121" t="n"/>
      <c r="V31" s="121" t="n"/>
      <c r="W31" s="121" t="n"/>
      <c r="X31" s="122" t="n"/>
    </row>
    <row r="32">
      <c r="A32" s="292" t="n"/>
      <c r="B32" s="291" t="inlineStr">
        <is>
          <t>Other petroleum gas</t>
        </is>
      </c>
      <c r="C32" s="119" t="inlineStr">
        <is>
          <t>tonnes</t>
        </is>
      </c>
      <c r="D32" s="128" t="n">
        <v>2578.25</v>
      </c>
      <c r="E32" s="128" t="n">
        <v>2575.7</v>
      </c>
      <c r="F32" s="123" t="n">
        <v>1.31</v>
      </c>
      <c r="G32" s="123" t="n">
        <v>1.24</v>
      </c>
      <c r="H32" s="129" t="n"/>
      <c r="I32" s="121" t="n"/>
      <c r="J32" s="121" t="n"/>
      <c r="K32" s="121" t="n"/>
      <c r="L32" s="121" t="n"/>
      <c r="M32" s="121" t="n"/>
      <c r="N32" s="121" t="n"/>
      <c r="O32" s="121" t="n"/>
      <c r="P32" s="121" t="n"/>
      <c r="Q32" s="121" t="n"/>
      <c r="R32" s="121" t="n"/>
      <c r="S32" s="121" t="n"/>
      <c r="T32" s="121" t="n"/>
      <c r="U32" s="121" t="n"/>
      <c r="V32" s="121" t="n"/>
      <c r="W32" s="121" t="n"/>
      <c r="X32" s="122" t="n"/>
    </row>
    <row r="33">
      <c r="A33" s="292" t="n"/>
      <c r="B33" s="293" t="n"/>
      <c r="C33" s="119" t="inlineStr">
        <is>
          <t>litres</t>
        </is>
      </c>
      <c r="D33" s="123" t="n">
        <v>0.9399999999999999</v>
      </c>
      <c r="E33" s="123" t="n">
        <v>0.94348</v>
      </c>
      <c r="F33" s="123" t="n">
        <v>0.00048</v>
      </c>
      <c r="G33" s="123" t="n">
        <v>0.00045</v>
      </c>
      <c r="H33" s="129" t="n"/>
      <c r="I33" s="121" t="n"/>
      <c r="J33" s="121" t="n"/>
      <c r="K33" s="121" t="n"/>
      <c r="L33" s="121" t="n"/>
      <c r="M33" s="121" t="n"/>
      <c r="N33" s="121" t="n"/>
      <c r="O33" s="121" t="n"/>
      <c r="P33" s="121" t="n"/>
      <c r="Q33" s="121" t="n"/>
      <c r="R33" s="121" t="n"/>
      <c r="S33" s="121" t="n"/>
      <c r="T33" s="121" t="n"/>
      <c r="U33" s="121" t="n"/>
      <c r="V33" s="121" t="n"/>
      <c r="W33" s="121" t="n"/>
      <c r="X33" s="122" t="n"/>
    </row>
    <row r="34">
      <c r="A34" s="292" t="n"/>
      <c r="B34" s="293" t="n"/>
      <c r="C34" s="119" t="inlineStr">
        <is>
          <t>kWh (Net CV)</t>
        </is>
      </c>
      <c r="D34" s="123" t="n">
        <v>0.2</v>
      </c>
      <c r="E34" s="123" t="n">
        <v>0.19897</v>
      </c>
      <c r="F34" s="123" t="n">
        <v>0.0001</v>
      </c>
      <c r="G34" s="123" t="n">
        <v>0.0001</v>
      </c>
      <c r="H34" s="129" t="n"/>
      <c r="I34" s="121" t="n"/>
      <c r="J34" s="121" t="n"/>
      <c r="K34" s="121" t="n"/>
      <c r="L34" s="121" t="n"/>
      <c r="M34" s="121" t="n"/>
      <c r="N34" s="121" t="n"/>
      <c r="O34" s="121" t="n"/>
      <c r="P34" s="121" t="n"/>
      <c r="Q34" s="121" t="n"/>
      <c r="R34" s="121" t="n"/>
      <c r="S34" s="121" t="n"/>
      <c r="T34" s="121" t="n"/>
      <c r="U34" s="121" t="n"/>
      <c r="V34" s="121" t="n"/>
      <c r="W34" s="121" t="n"/>
      <c r="X34" s="122" t="n"/>
    </row>
    <row r="35">
      <c r="A35" s="292" t="n"/>
      <c r="B35" s="294" t="n"/>
      <c r="C35" s="119" t="inlineStr">
        <is>
          <t>kWh (Gross CV)</t>
        </is>
      </c>
      <c r="D35" s="123" t="n">
        <v>0.18</v>
      </c>
      <c r="E35" s="123" t="n">
        <v>0.18305</v>
      </c>
      <c r="F35" s="123" t="n">
        <v>9.000000000000001e-05</v>
      </c>
      <c r="G35" s="123" t="n">
        <v>9.000000000000001e-05</v>
      </c>
      <c r="H35" s="129" t="n"/>
      <c r="I35" s="121" t="n"/>
      <c r="J35" s="121" t="n"/>
      <c r="K35" s="121" t="n"/>
      <c r="L35" s="121" t="n"/>
      <c r="M35" s="121" t="n"/>
      <c r="N35" s="121" t="n"/>
      <c r="O35" s="121" t="n"/>
      <c r="P35" s="121" t="n"/>
      <c r="Q35" s="121" t="n"/>
      <c r="R35" s="121" t="n"/>
      <c r="S35" s="121" t="n"/>
      <c r="T35" s="121" t="n"/>
      <c r="U35" s="121" t="n"/>
      <c r="V35" s="121" t="n"/>
      <c r="W35" s="121" t="n"/>
      <c r="X35" s="122" t="n"/>
    </row>
    <row r="36">
      <c r="A36" s="292" t="n"/>
      <c r="B36" s="295" t="inlineStr">
        <is>
          <t>Propane</t>
        </is>
      </c>
      <c r="C36" s="119" t="inlineStr">
        <is>
          <t>tonnes</t>
        </is>
      </c>
      <c r="D36" s="128" t="n">
        <v>2997.63</v>
      </c>
      <c r="E36" s="128" t="n">
        <v>2993.4</v>
      </c>
      <c r="F36" s="123" t="n">
        <v>2.5872</v>
      </c>
      <c r="G36" s="123" t="n">
        <v>1.64513</v>
      </c>
      <c r="H36" s="129" t="n"/>
      <c r="I36" s="121" t="n"/>
      <c r="J36" s="121" t="n"/>
      <c r="K36" s="121" t="n"/>
      <c r="L36" s="121" t="n"/>
      <c r="M36" s="121" t="n"/>
      <c r="N36" s="121" t="n"/>
      <c r="O36" s="121" t="n"/>
      <c r="P36" s="121" t="n"/>
      <c r="Q36" s="121" t="n"/>
      <c r="R36" s="121" t="n"/>
      <c r="S36" s="121" t="n"/>
      <c r="T36" s="121" t="n"/>
      <c r="U36" s="121" t="n"/>
      <c r="V36" s="121" t="n"/>
      <c r="W36" s="121" t="n"/>
      <c r="X36" s="122" t="n"/>
    </row>
    <row r="37">
      <c r="A37" s="292" t="n"/>
      <c r="B37" s="293" t="n"/>
      <c r="C37" s="119" t="inlineStr">
        <is>
          <t>litres</t>
        </is>
      </c>
      <c r="D37" s="123" t="n">
        <v>1.54</v>
      </c>
      <c r="E37" s="123" t="n">
        <v>1.5414</v>
      </c>
      <c r="F37" s="123" t="n">
        <v>0.00133</v>
      </c>
      <c r="G37" s="123" t="n">
        <v>0.00084</v>
      </c>
      <c r="H37" s="129" t="n"/>
      <c r="I37" s="121" t="n"/>
      <c r="J37" s="121" t="n"/>
      <c r="K37" s="121" t="n"/>
      <c r="L37" s="121" t="n"/>
      <c r="M37" s="121" t="n"/>
      <c r="N37" s="121" t="n"/>
      <c r="O37" s="121" t="n"/>
      <c r="P37" s="121" t="n"/>
      <c r="Q37" s="121" t="n"/>
      <c r="R37" s="121" t="n"/>
      <c r="S37" s="121" t="n"/>
      <c r="T37" s="121" t="n"/>
      <c r="U37" s="121" t="n"/>
      <c r="V37" s="121" t="n"/>
      <c r="W37" s="121" t="n"/>
      <c r="X37" s="122" t="n"/>
    </row>
    <row r="38">
      <c r="A38" s="292" t="n"/>
      <c r="B38" s="293" t="n"/>
      <c r="C38" s="119" t="inlineStr">
        <is>
          <t>kWh (Net CV)</t>
        </is>
      </c>
      <c r="D38" s="123" t="n">
        <v>0.23</v>
      </c>
      <c r="E38" s="123" t="n">
        <v>0.23225</v>
      </c>
      <c r="F38" s="123" t="n">
        <v>0.0002</v>
      </c>
      <c r="G38" s="123" t="n">
        <v>0.00012</v>
      </c>
      <c r="H38" s="129" t="n"/>
      <c r="I38" s="121" t="n"/>
      <c r="J38" s="121" t="n"/>
      <c r="K38" s="121" t="n"/>
      <c r="L38" s="121" t="n"/>
      <c r="M38" s="121" t="n"/>
      <c r="N38" s="121" t="n"/>
      <c r="O38" s="121" t="n"/>
      <c r="P38" s="121" t="n"/>
      <c r="Q38" s="121" t="n"/>
      <c r="R38" s="121" t="n"/>
      <c r="S38" s="121" t="n"/>
      <c r="T38" s="121" t="n"/>
      <c r="U38" s="121" t="n"/>
      <c r="V38" s="121" t="n"/>
      <c r="W38" s="121" t="n"/>
      <c r="X38" s="122" t="n"/>
    </row>
    <row r="39">
      <c r="A39" s="296" t="n"/>
      <c r="B39" s="297" t="n"/>
      <c r="C39" s="119" t="inlineStr">
        <is>
          <t>kWh (Gross CV)</t>
        </is>
      </c>
      <c r="D39" s="123" t="n">
        <v>0.21</v>
      </c>
      <c r="E39" s="123" t="n">
        <v>0.21381</v>
      </c>
      <c r="F39" s="123" t="n">
        <v>0.00018</v>
      </c>
      <c r="G39" s="123" t="n">
        <v>0.00012</v>
      </c>
      <c r="H39" s="129" t="n"/>
      <c r="I39" s="121" t="n"/>
      <c r="J39" s="121" t="n"/>
      <c r="K39" s="121" t="n"/>
      <c r="L39" s="121" t="n"/>
      <c r="M39" s="121" t="n"/>
      <c r="N39" s="121" t="n"/>
      <c r="O39" s="121" t="n"/>
      <c r="P39" s="121" t="n"/>
      <c r="Q39" s="121" t="n"/>
      <c r="R39" s="121" t="n"/>
      <c r="S39" s="121" t="n"/>
      <c r="T39" s="121" t="n"/>
      <c r="U39" s="121" t="n"/>
      <c r="V39" s="121" t="n"/>
      <c r="W39" s="121" t="n"/>
      <c r="X39" s="122" t="n"/>
    </row>
  </sheetData>
  <mergeCells count="9">
    <mergeCell ref="B36:B39"/>
    <mergeCell ref="B8:B11"/>
    <mergeCell ref="A8:A39"/>
    <mergeCell ref="B20:B23"/>
    <mergeCell ref="B12:B15"/>
    <mergeCell ref="B24:B27"/>
    <mergeCell ref="B16:B19"/>
    <mergeCell ref="B32:B35"/>
    <mergeCell ref="B28:B31"/>
  </mergeCells>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W113"/>
  <sheetViews>
    <sheetView workbookViewId="0">
      <pane xSplit="2" ySplit="9" topLeftCell="C10" activePane="bottomRight" state="frozen"/>
      <selection pane="topRight" activeCell="C1" sqref="C1"/>
      <selection pane="bottomLeft" activeCell="A10" sqref="A10"/>
      <selection pane="bottomRight" activeCell="C10" sqref="C10"/>
    </sheetView>
  </sheetViews>
  <sheetFormatPr baseColWidth="8" defaultColWidth="12.63" defaultRowHeight="15.75" customHeight="1"/>
  <sheetData>
    <row r="1">
      <c r="A1" s="136" t="inlineStr">
        <is>
          <t>Source: https://assets.publishing.service.gov.uk/media/6567994fcc1ec5000d8eef17/data-tables-1-19.xlsx</t>
        </is>
      </c>
    </row>
    <row r="3">
      <c r="A3" s="83" t="n"/>
      <c r="B3" s="137" t="inlineStr">
        <is>
          <t>Tables 4-8: Retail prices</t>
        </is>
      </c>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69" t="n"/>
      <c r="AD3" s="169" t="n"/>
      <c r="AE3" s="169" t="n"/>
      <c r="AF3" s="169" t="n"/>
      <c r="AG3" s="169" t="n"/>
      <c r="AH3" s="169" t="n"/>
      <c r="AI3" s="169" t="n"/>
      <c r="AJ3" s="169" t="n"/>
      <c r="AK3" s="169" t="n"/>
      <c r="AL3" s="169" t="n"/>
      <c r="AM3" s="169" t="n"/>
      <c r="AN3" s="169" t="n"/>
      <c r="AO3" s="169" t="n"/>
      <c r="AP3" s="169" t="n"/>
      <c r="AQ3" s="169" t="n"/>
      <c r="AR3" s="169" t="n"/>
      <c r="AS3" s="169" t="n"/>
      <c r="AT3" s="169" t="n"/>
      <c r="AU3" s="169" t="n"/>
      <c r="AV3" s="169" t="n"/>
      <c r="AW3" s="85" t="n"/>
    </row>
    <row r="4">
      <c r="A4" s="83" t="n"/>
      <c r="B4" s="169" t="n"/>
      <c r="C4" s="169" t="n"/>
      <c r="D4" s="169" t="n"/>
      <c r="E4" s="169" t="n"/>
      <c r="F4" s="169" t="n"/>
      <c r="G4" s="169" t="n"/>
      <c r="H4" s="169" t="n"/>
      <c r="I4" s="169" t="n"/>
      <c r="J4" s="169" t="n"/>
      <c r="K4" s="169" t="n"/>
      <c r="L4" s="169" t="n"/>
      <c r="M4" s="169" t="n"/>
      <c r="N4" s="169" t="n"/>
      <c r="O4" s="169" t="n"/>
      <c r="P4" s="169" t="n"/>
      <c r="Q4" s="169" t="n"/>
      <c r="R4" s="169" t="n"/>
      <c r="S4" s="169" t="n"/>
      <c r="T4" s="169" t="n"/>
      <c r="U4" s="169" t="n"/>
      <c r="V4" s="169" t="n"/>
      <c r="W4" s="169" t="n"/>
      <c r="X4" s="169" t="n"/>
      <c r="Y4" s="169" t="n"/>
      <c r="Z4" s="169" t="n"/>
      <c r="AA4" s="169" t="n"/>
      <c r="AB4" s="169" t="n"/>
      <c r="AC4" s="169" t="n"/>
      <c r="AD4" s="169" t="n"/>
      <c r="AE4" s="169" t="n"/>
      <c r="AF4" s="169" t="n"/>
      <c r="AG4" s="169" t="n"/>
      <c r="AH4" s="169" t="n"/>
      <c r="AI4" s="169" t="n"/>
      <c r="AJ4" s="169" t="n"/>
      <c r="AK4" s="169" t="n"/>
      <c r="AL4" s="169" t="n"/>
      <c r="AM4" s="169" t="n"/>
      <c r="AN4" s="169" t="n"/>
      <c r="AO4" s="169" t="n"/>
      <c r="AP4" s="169" t="n"/>
      <c r="AQ4" s="169" t="n"/>
      <c r="AR4" s="169" t="n"/>
      <c r="AS4" s="169" t="n"/>
      <c r="AT4" s="169" t="n"/>
      <c r="AU4" s="169" t="n"/>
      <c r="AV4" s="169" t="n"/>
      <c r="AW4" s="85" t="n"/>
    </row>
    <row r="5">
      <c r="A5" s="83" t="n"/>
      <c r="B5" s="138" t="inlineStr">
        <is>
          <t>We strongly advise the use of the full range of prices in all analysis due to the current uncertainty in energy prices, especially where the level of price has a material impact on your outcomes. This is due to the significant uncertainties across all components of prices, as observed from historic and current volatility, and in the transition to Net Zero.</t>
        </is>
      </c>
      <c r="C5" s="139" t="n"/>
      <c r="D5" s="139" t="n"/>
      <c r="E5" s="139" t="n"/>
      <c r="F5" s="139" t="n"/>
      <c r="G5" s="139" t="n"/>
      <c r="H5" s="139" t="n"/>
      <c r="I5" s="139" t="n"/>
      <c r="J5" s="139" t="n"/>
      <c r="K5" s="140" t="n"/>
      <c r="L5" s="169" t="n"/>
      <c r="M5" s="169" t="n"/>
      <c r="N5" s="169" t="n"/>
      <c r="O5" s="169" t="n"/>
      <c r="P5" s="169" t="n"/>
      <c r="Q5" s="169" t="n"/>
      <c r="R5" s="169" t="n"/>
      <c r="S5" s="169" t="n"/>
      <c r="T5" s="169" t="n"/>
      <c r="U5" s="169" t="n"/>
      <c r="V5" s="169" t="n"/>
      <c r="W5" s="169" t="n"/>
      <c r="X5" s="169" t="n"/>
      <c r="Y5" s="169" t="n"/>
      <c r="Z5" s="169" t="n"/>
      <c r="AA5" s="169" t="n"/>
      <c r="AB5" s="169" t="n"/>
      <c r="AC5" s="169" t="n"/>
      <c r="AD5" s="169" t="n"/>
      <c r="AE5" s="169" t="n"/>
      <c r="AF5" s="169" t="n"/>
      <c r="AG5" s="169" t="n"/>
      <c r="AH5" s="169" t="n"/>
      <c r="AI5" s="169" t="n"/>
      <c r="AJ5" s="169" t="n"/>
      <c r="AK5" s="169" t="n"/>
      <c r="AL5" s="169" t="n"/>
      <c r="AM5" s="169" t="n"/>
      <c r="AN5" s="169" t="n"/>
      <c r="AO5" s="169" t="n"/>
      <c r="AP5" s="169" t="n"/>
      <c r="AQ5" s="169" t="n"/>
      <c r="AR5" s="169" t="n"/>
      <c r="AS5" s="169" t="n"/>
      <c r="AT5" s="169" t="n"/>
      <c r="AU5" s="169" t="n"/>
      <c r="AV5" s="169" t="n"/>
      <c r="AW5" s="85" t="n"/>
    </row>
    <row r="6">
      <c r="A6" s="83" t="n"/>
      <c r="B6" s="169" t="n"/>
      <c r="C6" s="141" t="n"/>
      <c r="D6" s="141" t="n"/>
      <c r="E6" s="141" t="n"/>
      <c r="F6" s="141" t="n"/>
      <c r="G6" s="141" t="n"/>
      <c r="H6" s="141" t="n"/>
      <c r="I6" s="141" t="n"/>
      <c r="J6" s="141" t="n"/>
      <c r="K6" s="141" t="n"/>
      <c r="L6" s="169" t="n"/>
      <c r="M6" s="141" t="n"/>
      <c r="N6" s="141" t="n"/>
      <c r="O6" s="141" t="n"/>
      <c r="P6" s="141" t="n"/>
      <c r="Q6" s="141" t="n"/>
      <c r="R6" s="141" t="n"/>
      <c r="S6" s="141" t="n"/>
      <c r="T6" s="141" t="n"/>
      <c r="U6" s="141" t="n"/>
      <c r="V6" s="169" t="n"/>
      <c r="W6" s="141" t="n"/>
      <c r="X6" s="141" t="n"/>
      <c r="Y6" s="141" t="n"/>
      <c r="Z6" s="141" t="n"/>
      <c r="AA6" s="141" t="n"/>
      <c r="AB6" s="141" t="n"/>
      <c r="AC6" s="141" t="n"/>
      <c r="AD6" s="141" t="n"/>
      <c r="AE6" s="141" t="n"/>
      <c r="AF6" s="169" t="n"/>
      <c r="AG6" s="141" t="n"/>
      <c r="AH6" s="141" t="n"/>
      <c r="AI6" s="141" t="n"/>
      <c r="AJ6" s="141" t="n"/>
      <c r="AK6" s="141" t="n"/>
      <c r="AL6" s="141" t="n"/>
      <c r="AM6" s="141" t="n"/>
      <c r="AN6" s="141" t="n"/>
      <c r="AO6" s="141" t="n"/>
      <c r="AP6" s="169" t="n"/>
      <c r="AQ6" s="141" t="n"/>
      <c r="AR6" s="141" t="n"/>
      <c r="AS6" s="141" t="n"/>
      <c r="AT6" s="141" t="n"/>
      <c r="AU6" s="141" t="n"/>
      <c r="AV6" s="141" t="n"/>
      <c r="AW6" s="85" t="n"/>
    </row>
    <row r="7">
      <c r="A7" s="83" t="n"/>
      <c r="B7" s="142" t="n"/>
      <c r="C7" s="151" t="inlineStr">
        <is>
          <t>Table 4 - Retail Electricity Prices (real 2022 p/kWh)</t>
        </is>
      </c>
      <c r="D7" s="298" t="n"/>
      <c r="E7" s="298" t="n"/>
      <c r="F7" s="298" t="n"/>
      <c r="G7" s="298" t="n"/>
      <c r="H7" s="298" t="n"/>
      <c r="I7" s="298" t="n"/>
      <c r="J7" s="298" t="n"/>
      <c r="K7" s="299" t="n"/>
      <c r="L7" s="146" t="n"/>
      <c r="M7" s="151" t="inlineStr">
        <is>
          <t>Table 5 - Retail Gas Prices (real 2022 p/kWh)</t>
        </is>
      </c>
      <c r="N7" s="298" t="n"/>
      <c r="O7" s="298" t="n"/>
      <c r="P7" s="298" t="n"/>
      <c r="Q7" s="298" t="n"/>
      <c r="R7" s="298" t="n"/>
      <c r="S7" s="298" t="n"/>
      <c r="T7" s="298" t="n"/>
      <c r="U7" s="299" t="n"/>
      <c r="V7" s="146" t="n"/>
      <c r="W7" s="151" t="inlineStr">
        <is>
          <t>Table 6 - Retail Coal Prices (real 2022 p/kWh)</t>
        </is>
      </c>
      <c r="X7" s="298" t="n"/>
      <c r="Y7" s="298" t="n"/>
      <c r="Z7" s="298" t="n"/>
      <c r="AA7" s="298" t="n"/>
      <c r="AB7" s="298" t="n"/>
      <c r="AC7" s="298" t="n"/>
      <c r="AD7" s="298" t="n"/>
      <c r="AE7" s="299" t="n"/>
      <c r="AF7" s="146" t="n"/>
      <c r="AG7" s="151" t="inlineStr">
        <is>
          <t>Table 7 - Retail Oil Prices (real 2022 p/litre)</t>
        </is>
      </c>
      <c r="AH7" s="298" t="n"/>
      <c r="AI7" s="298" t="n"/>
      <c r="AJ7" s="298" t="n"/>
      <c r="AK7" s="298" t="n"/>
      <c r="AL7" s="298" t="n"/>
      <c r="AM7" s="298" t="n"/>
      <c r="AN7" s="298" t="n"/>
      <c r="AO7" s="299" t="n"/>
      <c r="AP7" s="146" t="n"/>
      <c r="AQ7" s="151" t="inlineStr">
        <is>
          <t>Table 8 - Retail Road Fuel Prices (real 2022 p/litre)</t>
        </is>
      </c>
      <c r="AR7" s="298" t="n"/>
      <c r="AS7" s="298" t="n"/>
      <c r="AT7" s="298" t="n"/>
      <c r="AU7" s="298" t="n"/>
      <c r="AV7" s="299" t="n"/>
      <c r="AW7" s="147" t="n"/>
    </row>
    <row r="8">
      <c r="A8" s="83" t="n"/>
      <c r="B8" s="148" t="n"/>
      <c r="C8" s="300" t="inlineStr">
        <is>
          <t>Low</t>
        </is>
      </c>
      <c r="D8" s="298" t="n"/>
      <c r="E8" s="299" t="n"/>
      <c r="F8" s="300" t="inlineStr">
        <is>
          <t>Central</t>
        </is>
      </c>
      <c r="G8" s="298" t="n"/>
      <c r="H8" s="299" t="n"/>
      <c r="I8" s="300" t="inlineStr">
        <is>
          <t>High</t>
        </is>
      </c>
      <c r="J8" s="298" t="n"/>
      <c r="K8" s="299" t="n"/>
      <c r="L8" s="146" t="n"/>
      <c r="M8" s="300" t="inlineStr">
        <is>
          <t>Low</t>
        </is>
      </c>
      <c r="N8" s="298" t="n"/>
      <c r="O8" s="299" t="n"/>
      <c r="P8" s="300" t="inlineStr">
        <is>
          <t>Central</t>
        </is>
      </c>
      <c r="Q8" s="298" t="n"/>
      <c r="R8" s="299" t="n"/>
      <c r="S8" s="300" t="inlineStr">
        <is>
          <t>High</t>
        </is>
      </c>
      <c r="T8" s="298" t="n"/>
      <c r="U8" s="299" t="n"/>
      <c r="V8" s="146" t="n"/>
      <c r="W8" s="300" t="inlineStr">
        <is>
          <t>Low</t>
        </is>
      </c>
      <c r="X8" s="298" t="n"/>
      <c r="Y8" s="299" t="n"/>
      <c r="Z8" s="300" t="inlineStr">
        <is>
          <t>Central</t>
        </is>
      </c>
      <c r="AA8" s="298" t="n"/>
      <c r="AB8" s="299" t="n"/>
      <c r="AC8" s="300" t="inlineStr">
        <is>
          <t>High</t>
        </is>
      </c>
      <c r="AD8" s="298" t="n"/>
      <c r="AE8" s="299" t="n"/>
      <c r="AF8" s="146" t="n"/>
      <c r="AG8" s="300" t="inlineStr">
        <is>
          <t>Low</t>
        </is>
      </c>
      <c r="AH8" s="298" t="n"/>
      <c r="AI8" s="299" t="n"/>
      <c r="AJ8" s="300" t="inlineStr">
        <is>
          <t>Central</t>
        </is>
      </c>
      <c r="AK8" s="298" t="n"/>
      <c r="AL8" s="299" t="n"/>
      <c r="AM8" s="300" t="inlineStr">
        <is>
          <t>High</t>
        </is>
      </c>
      <c r="AN8" s="298" t="n"/>
      <c r="AO8" s="299" t="n"/>
      <c r="AP8" s="146" t="n"/>
      <c r="AQ8" s="300" t="inlineStr">
        <is>
          <t>Low</t>
        </is>
      </c>
      <c r="AR8" s="299" t="n"/>
      <c r="AS8" s="300" t="inlineStr">
        <is>
          <t>Central</t>
        </is>
      </c>
      <c r="AT8" s="299" t="n"/>
      <c r="AU8" s="300" t="inlineStr">
        <is>
          <t>High</t>
        </is>
      </c>
      <c r="AV8" s="299" t="n"/>
      <c r="AW8" s="147" t="n"/>
    </row>
    <row r="9">
      <c r="A9" s="150" t="n"/>
      <c r="B9" s="151" t="inlineStr">
        <is>
          <t>Year</t>
        </is>
      </c>
      <c r="C9" s="152" t="inlineStr">
        <is>
          <t>Domestic</t>
        </is>
      </c>
      <c r="D9" s="153" t="inlineStr">
        <is>
          <t>Commercial/ Public sector</t>
        </is>
      </c>
      <c r="E9" s="154" t="inlineStr">
        <is>
          <t>Industrial</t>
        </is>
      </c>
      <c r="F9" s="152" t="inlineStr">
        <is>
          <t>Domestic</t>
        </is>
      </c>
      <c r="G9" s="153" t="inlineStr">
        <is>
          <t>Commercial/ Public sector</t>
        </is>
      </c>
      <c r="H9" s="154" t="inlineStr">
        <is>
          <t>Industrial</t>
        </is>
      </c>
      <c r="I9" s="152" t="inlineStr">
        <is>
          <t>Domestic</t>
        </is>
      </c>
      <c r="J9" s="153" t="inlineStr">
        <is>
          <t>Commercial/ Public sector</t>
        </is>
      </c>
      <c r="K9" s="153" t="inlineStr">
        <is>
          <t>Industrial</t>
        </is>
      </c>
      <c r="L9" s="142" t="n"/>
      <c r="M9" s="152" t="inlineStr">
        <is>
          <t>Domestic</t>
        </is>
      </c>
      <c r="N9" s="153" t="inlineStr">
        <is>
          <t>Commercial/ Public sector</t>
        </is>
      </c>
      <c r="O9" s="154" t="inlineStr">
        <is>
          <t>Industrial</t>
        </is>
      </c>
      <c r="P9" s="152" t="inlineStr">
        <is>
          <t>Domestic</t>
        </is>
      </c>
      <c r="Q9" s="153" t="inlineStr">
        <is>
          <t>Commercial/ Public sector</t>
        </is>
      </c>
      <c r="R9" s="154" t="inlineStr">
        <is>
          <t>Industrial</t>
        </is>
      </c>
      <c r="S9" s="152" t="inlineStr">
        <is>
          <t>Domestic</t>
        </is>
      </c>
      <c r="T9" s="153" t="inlineStr">
        <is>
          <t>Commercial/ Public sector</t>
        </is>
      </c>
      <c r="U9" s="154" t="inlineStr">
        <is>
          <t>Industrial</t>
        </is>
      </c>
      <c r="V9" s="146" t="n"/>
      <c r="W9" s="152" t="inlineStr">
        <is>
          <t>Domestic</t>
        </is>
      </c>
      <c r="X9" s="153" t="inlineStr">
        <is>
          <t>Commercial/ Public sector</t>
        </is>
      </c>
      <c r="Y9" s="154" t="inlineStr">
        <is>
          <t>Industrial</t>
        </is>
      </c>
      <c r="Z9" s="152" t="inlineStr">
        <is>
          <t>Domestic</t>
        </is>
      </c>
      <c r="AA9" s="153" t="inlineStr">
        <is>
          <t>Commercial/ Public sector</t>
        </is>
      </c>
      <c r="AB9" s="154" t="inlineStr">
        <is>
          <t>Industrial</t>
        </is>
      </c>
      <c r="AC9" s="152" t="inlineStr">
        <is>
          <t>Domestic</t>
        </is>
      </c>
      <c r="AD9" s="153" t="inlineStr">
        <is>
          <t>Commercial/ Public sector</t>
        </is>
      </c>
      <c r="AE9" s="153" t="inlineStr">
        <is>
          <t>Industrial</t>
        </is>
      </c>
      <c r="AF9" s="142" t="n"/>
      <c r="AG9" s="152" t="inlineStr">
        <is>
          <t>Domestic</t>
        </is>
      </c>
      <c r="AH9" s="153" t="inlineStr">
        <is>
          <t>Commercial/ Public sector</t>
        </is>
      </c>
      <c r="AI9" s="154" t="inlineStr">
        <is>
          <t>Industrial</t>
        </is>
      </c>
      <c r="AJ9" s="152" t="inlineStr">
        <is>
          <t>Domestic</t>
        </is>
      </c>
      <c r="AK9" s="153" t="inlineStr">
        <is>
          <t>Commercial/ Public sector</t>
        </is>
      </c>
      <c r="AL9" s="154" t="inlineStr">
        <is>
          <t>Industrial</t>
        </is>
      </c>
      <c r="AM9" s="152" t="inlineStr">
        <is>
          <t>Domestic</t>
        </is>
      </c>
      <c r="AN9" s="153" t="inlineStr">
        <is>
          <t>Commercial/ Public sector</t>
        </is>
      </c>
      <c r="AO9" s="154" t="inlineStr">
        <is>
          <t>Industrial</t>
        </is>
      </c>
      <c r="AP9" s="146" t="n"/>
      <c r="AQ9" s="152" t="inlineStr">
        <is>
          <t>Petrol (weighted average)</t>
        </is>
      </c>
      <c r="AR9" s="154" t="inlineStr">
        <is>
          <t>DERV</t>
        </is>
      </c>
      <c r="AS9" s="152" t="inlineStr">
        <is>
          <t>Petrol (weighted average)</t>
        </is>
      </c>
      <c r="AT9" s="154" t="inlineStr">
        <is>
          <t>DERV</t>
        </is>
      </c>
      <c r="AU9" s="152" t="inlineStr">
        <is>
          <t>Petrol (weighted average)</t>
        </is>
      </c>
      <c r="AV9" s="153" t="inlineStr">
        <is>
          <t>DERV</t>
        </is>
      </c>
      <c r="AW9" s="85" t="n"/>
    </row>
    <row r="10">
      <c r="A10" s="150" t="n"/>
      <c r="B10" s="155" t="n">
        <v>2010</v>
      </c>
      <c r="C10" s="156" t="n">
        <v>16.06</v>
      </c>
      <c r="D10" s="157" t="n">
        <v>10.62</v>
      </c>
      <c r="E10" s="158" t="n">
        <v>8.859999999999999</v>
      </c>
      <c r="F10" s="156" t="n">
        <v>16.06</v>
      </c>
      <c r="G10" s="157" t="n">
        <v>10.62</v>
      </c>
      <c r="H10" s="158" t="n">
        <v>8.859999999999999</v>
      </c>
      <c r="I10" s="156" t="n">
        <v>16.06</v>
      </c>
      <c r="J10" s="157" t="n">
        <v>10.62</v>
      </c>
      <c r="K10" s="158" t="n">
        <v>8.859999999999999</v>
      </c>
      <c r="L10" s="146" t="n"/>
      <c r="M10" s="156" t="n">
        <v>4.77</v>
      </c>
      <c r="N10" s="157" t="n">
        <v>2.82</v>
      </c>
      <c r="O10" s="158" t="n">
        <v>2.12</v>
      </c>
      <c r="P10" s="156" t="n">
        <v>4.77</v>
      </c>
      <c r="Q10" s="157" t="n">
        <v>2.82</v>
      </c>
      <c r="R10" s="158" t="n">
        <v>2.12</v>
      </c>
      <c r="S10" s="156" t="n">
        <v>4.77</v>
      </c>
      <c r="T10" s="157" t="n">
        <v>2.82</v>
      </c>
      <c r="U10" s="158" t="n">
        <v>2.12</v>
      </c>
      <c r="V10" s="146" t="n"/>
      <c r="W10" s="156" t="n">
        <v>6.76</v>
      </c>
      <c r="X10" s="157" t="n">
        <v>1.58</v>
      </c>
      <c r="Y10" s="158" t="n">
        <v>1.21</v>
      </c>
      <c r="Z10" s="156" t="n">
        <v>6.76</v>
      </c>
      <c r="AA10" s="157" t="n">
        <v>1.58</v>
      </c>
      <c r="AB10" s="158" t="n">
        <v>1.21</v>
      </c>
      <c r="AC10" s="156" t="n">
        <v>6.76</v>
      </c>
      <c r="AD10" s="157" t="n">
        <v>1.58</v>
      </c>
      <c r="AE10" s="158" t="n">
        <v>1.21</v>
      </c>
      <c r="AF10" s="146" t="n"/>
      <c r="AG10" s="156" t="n">
        <v>59.1</v>
      </c>
      <c r="AH10" s="157" t="n">
        <v>68.8</v>
      </c>
      <c r="AI10" s="158" t="n">
        <v>65.8</v>
      </c>
      <c r="AJ10" s="156" t="n">
        <v>59.1</v>
      </c>
      <c r="AK10" s="157" t="n">
        <v>68.8</v>
      </c>
      <c r="AL10" s="158" t="n">
        <v>65.8</v>
      </c>
      <c r="AM10" s="156" t="n">
        <v>59.1</v>
      </c>
      <c r="AN10" s="157" t="n">
        <v>68.8</v>
      </c>
      <c r="AO10" s="158" t="n">
        <v>65.8</v>
      </c>
      <c r="AP10" s="146" t="n"/>
      <c r="AQ10" s="156" t="n">
        <v>152.4</v>
      </c>
      <c r="AR10" s="158" t="n">
        <v>155.1</v>
      </c>
      <c r="AS10" s="156" t="n">
        <v>152.4</v>
      </c>
      <c r="AT10" s="158" t="n">
        <v>155.1</v>
      </c>
      <c r="AU10" s="156" t="n">
        <v>152.4</v>
      </c>
      <c r="AV10" s="158" t="n">
        <v>155.1</v>
      </c>
      <c r="AW10" s="147" t="n"/>
    </row>
    <row r="11">
      <c r="A11" s="150" t="n"/>
      <c r="B11" s="159" t="n">
        <v>2011</v>
      </c>
      <c r="C11" s="160" t="n">
        <v>17.11</v>
      </c>
      <c r="D11" s="161" t="n">
        <v>11.08</v>
      </c>
      <c r="E11" s="162" t="n">
        <v>9.19</v>
      </c>
      <c r="F11" s="160" t="n">
        <v>17.11</v>
      </c>
      <c r="G11" s="161" t="n">
        <v>11.08</v>
      </c>
      <c r="H11" s="162" t="n">
        <v>9.19</v>
      </c>
      <c r="I11" s="160" t="n">
        <v>17.11</v>
      </c>
      <c r="J11" s="161" t="n">
        <v>11.08</v>
      </c>
      <c r="K11" s="162" t="n">
        <v>9.19</v>
      </c>
      <c r="L11" s="146" t="n"/>
      <c r="M11" s="160" t="n">
        <v>5.3</v>
      </c>
      <c r="N11" s="161" t="n">
        <v>3.21</v>
      </c>
      <c r="O11" s="162" t="n">
        <v>2.68</v>
      </c>
      <c r="P11" s="160" t="n">
        <v>5.3</v>
      </c>
      <c r="Q11" s="161" t="n">
        <v>3.21</v>
      </c>
      <c r="R11" s="162" t="n">
        <v>2.68</v>
      </c>
      <c r="S11" s="160" t="n">
        <v>5.3</v>
      </c>
      <c r="T11" s="161" t="n">
        <v>3.21</v>
      </c>
      <c r="U11" s="162" t="n">
        <v>2.68</v>
      </c>
      <c r="V11" s="146" t="n"/>
      <c r="W11" s="160" t="n">
        <v>6.94</v>
      </c>
      <c r="X11" s="161" t="n">
        <v>1.72</v>
      </c>
      <c r="Y11" s="162" t="n">
        <v>1.32</v>
      </c>
      <c r="Z11" s="160" t="n">
        <v>6.94</v>
      </c>
      <c r="AA11" s="161" t="n">
        <v>1.72</v>
      </c>
      <c r="AB11" s="162" t="n">
        <v>1.32</v>
      </c>
      <c r="AC11" s="160" t="n">
        <v>6.94</v>
      </c>
      <c r="AD11" s="161" t="n">
        <v>1.72</v>
      </c>
      <c r="AE11" s="162" t="n">
        <v>1.32</v>
      </c>
      <c r="AF11" s="146" t="n"/>
      <c r="AG11" s="160" t="n">
        <v>74</v>
      </c>
      <c r="AH11" s="161" t="n">
        <v>83.3</v>
      </c>
      <c r="AI11" s="162" t="n">
        <v>80.3</v>
      </c>
      <c r="AJ11" s="160" t="n">
        <v>74</v>
      </c>
      <c r="AK11" s="161" t="n">
        <v>83.3</v>
      </c>
      <c r="AL11" s="162" t="n">
        <v>80.3</v>
      </c>
      <c r="AM11" s="160" t="n">
        <v>74</v>
      </c>
      <c r="AN11" s="161" t="n">
        <v>83.3</v>
      </c>
      <c r="AO11" s="162" t="n">
        <v>80.3</v>
      </c>
      <c r="AP11" s="146" t="n"/>
      <c r="AQ11" s="160" t="n">
        <v>169.9</v>
      </c>
      <c r="AR11" s="162" t="n">
        <v>176.5</v>
      </c>
      <c r="AS11" s="160" t="n">
        <v>169.9</v>
      </c>
      <c r="AT11" s="162" t="n">
        <v>176.5</v>
      </c>
      <c r="AU11" s="160" t="n">
        <v>169.9</v>
      </c>
      <c r="AV11" s="162" t="n">
        <v>176.5</v>
      </c>
      <c r="AW11" s="147" t="n"/>
    </row>
    <row r="12">
      <c r="A12" s="150" t="n"/>
      <c r="B12" s="159" t="n">
        <v>2012</v>
      </c>
      <c r="C12" s="160" t="n">
        <v>17.78</v>
      </c>
      <c r="D12" s="161" t="n">
        <v>11.79</v>
      </c>
      <c r="E12" s="162" t="n">
        <v>10.05</v>
      </c>
      <c r="F12" s="160" t="n">
        <v>17.78</v>
      </c>
      <c r="G12" s="161" t="n">
        <v>11.79</v>
      </c>
      <c r="H12" s="162" t="n">
        <v>10.05</v>
      </c>
      <c r="I12" s="160" t="n">
        <v>17.78</v>
      </c>
      <c r="J12" s="161" t="n">
        <v>11.79</v>
      </c>
      <c r="K12" s="162" t="n">
        <v>10.05</v>
      </c>
      <c r="L12" s="146" t="n"/>
      <c r="M12" s="160" t="n">
        <v>5.7</v>
      </c>
      <c r="N12" s="161" t="n">
        <v>3.71</v>
      </c>
      <c r="O12" s="162" t="n">
        <v>2.77</v>
      </c>
      <c r="P12" s="160" t="n">
        <v>5.7</v>
      </c>
      <c r="Q12" s="161" t="n">
        <v>3.71</v>
      </c>
      <c r="R12" s="162" t="n">
        <v>2.77</v>
      </c>
      <c r="S12" s="160" t="n">
        <v>5.7</v>
      </c>
      <c r="T12" s="161" t="n">
        <v>3.71</v>
      </c>
      <c r="U12" s="162" t="n">
        <v>2.77</v>
      </c>
      <c r="V12" s="146" t="n"/>
      <c r="W12" s="160" t="n">
        <v>7.08</v>
      </c>
      <c r="X12" s="161" t="n">
        <v>1.66</v>
      </c>
      <c r="Y12" s="162" t="n">
        <v>1.27</v>
      </c>
      <c r="Z12" s="160" t="n">
        <v>7.08</v>
      </c>
      <c r="AA12" s="161" t="n">
        <v>1.66</v>
      </c>
      <c r="AB12" s="162" t="n">
        <v>1.27</v>
      </c>
      <c r="AC12" s="160" t="n">
        <v>7.08</v>
      </c>
      <c r="AD12" s="161" t="n">
        <v>1.66</v>
      </c>
      <c r="AE12" s="162" t="n">
        <v>1.27</v>
      </c>
      <c r="AF12" s="146" t="n"/>
      <c r="AG12" s="160" t="n">
        <v>74.3</v>
      </c>
      <c r="AH12" s="161" t="n">
        <v>86.3</v>
      </c>
      <c r="AI12" s="162" t="n">
        <v>82.2</v>
      </c>
      <c r="AJ12" s="160" t="n">
        <v>74.3</v>
      </c>
      <c r="AK12" s="161" t="n">
        <v>86.3</v>
      </c>
      <c r="AL12" s="162" t="n">
        <v>82.2</v>
      </c>
      <c r="AM12" s="160" t="n">
        <v>74.3</v>
      </c>
      <c r="AN12" s="161" t="n">
        <v>86.3</v>
      </c>
      <c r="AO12" s="162" t="n">
        <v>82.2</v>
      </c>
      <c r="AP12" s="146" t="n"/>
      <c r="AQ12" s="160" t="n">
        <v>170</v>
      </c>
      <c r="AR12" s="162" t="n">
        <v>177.8</v>
      </c>
      <c r="AS12" s="160" t="n">
        <v>170</v>
      </c>
      <c r="AT12" s="162" t="n">
        <v>177.8</v>
      </c>
      <c r="AU12" s="160" t="n">
        <v>170</v>
      </c>
      <c r="AV12" s="162" t="n">
        <v>177.8</v>
      </c>
      <c r="AW12" s="147" t="n"/>
    </row>
    <row r="13">
      <c r="A13" s="150" t="n"/>
      <c r="B13" s="159" t="n">
        <v>2013</v>
      </c>
      <c r="C13" s="160" t="n">
        <v>18.58</v>
      </c>
      <c r="D13" s="161" t="n">
        <v>12.34</v>
      </c>
      <c r="E13" s="162" t="n">
        <v>11</v>
      </c>
      <c r="F13" s="160" t="n">
        <v>18.58</v>
      </c>
      <c r="G13" s="161" t="n">
        <v>12.34</v>
      </c>
      <c r="H13" s="162" t="n">
        <v>11</v>
      </c>
      <c r="I13" s="160" t="n">
        <v>18.58</v>
      </c>
      <c r="J13" s="161" t="n">
        <v>12.34</v>
      </c>
      <c r="K13" s="162" t="n">
        <v>11</v>
      </c>
      <c r="L13" s="146" t="n"/>
      <c r="M13" s="160" t="n">
        <v>5.94</v>
      </c>
      <c r="N13" s="161" t="n">
        <v>4.03</v>
      </c>
      <c r="O13" s="162" t="n">
        <v>2.91</v>
      </c>
      <c r="P13" s="160" t="n">
        <v>5.94</v>
      </c>
      <c r="Q13" s="161" t="n">
        <v>4.03</v>
      </c>
      <c r="R13" s="162" t="n">
        <v>2.91</v>
      </c>
      <c r="S13" s="160" t="n">
        <v>5.94</v>
      </c>
      <c r="T13" s="161" t="n">
        <v>4.03</v>
      </c>
      <c r="U13" s="162" t="n">
        <v>2.91</v>
      </c>
      <c r="V13" s="146" t="n"/>
      <c r="W13" s="160" t="n">
        <v>7.04</v>
      </c>
      <c r="X13" s="161" t="n">
        <v>1.71</v>
      </c>
      <c r="Y13" s="162" t="n">
        <v>1.31</v>
      </c>
      <c r="Z13" s="160" t="n">
        <v>7.04</v>
      </c>
      <c r="AA13" s="161" t="n">
        <v>1.71</v>
      </c>
      <c r="AB13" s="162" t="n">
        <v>1.31</v>
      </c>
      <c r="AC13" s="160" t="n">
        <v>7.04</v>
      </c>
      <c r="AD13" s="161" t="n">
        <v>1.71</v>
      </c>
      <c r="AE13" s="162" t="n">
        <v>1.31</v>
      </c>
      <c r="AF13" s="146" t="n"/>
      <c r="AG13" s="160" t="n">
        <v>70.09999999999999</v>
      </c>
      <c r="AH13" s="161" t="n">
        <v>83.8</v>
      </c>
      <c r="AI13" s="162" t="n">
        <v>78.7</v>
      </c>
      <c r="AJ13" s="160" t="n">
        <v>70.09999999999999</v>
      </c>
      <c r="AK13" s="161" t="n">
        <v>83.8</v>
      </c>
      <c r="AL13" s="162" t="n">
        <v>78.7</v>
      </c>
      <c r="AM13" s="160" t="n">
        <v>70.09999999999999</v>
      </c>
      <c r="AN13" s="161" t="n">
        <v>83.8</v>
      </c>
      <c r="AO13" s="162" t="n">
        <v>78.7</v>
      </c>
      <c r="AP13" s="146" t="n"/>
      <c r="AQ13" s="160" t="n">
        <v>165.1</v>
      </c>
      <c r="AR13" s="162" t="n">
        <v>172.3</v>
      </c>
      <c r="AS13" s="160" t="n">
        <v>165.1</v>
      </c>
      <c r="AT13" s="162" t="n">
        <v>172.3</v>
      </c>
      <c r="AU13" s="160" t="n">
        <v>165.1</v>
      </c>
      <c r="AV13" s="162" t="n">
        <v>172.3</v>
      </c>
      <c r="AW13" s="147" t="n"/>
    </row>
    <row r="14">
      <c r="A14" s="150" t="n"/>
      <c r="B14" s="159" t="n">
        <v>2014</v>
      </c>
      <c r="C14" s="160" t="n">
        <v>19.29</v>
      </c>
      <c r="D14" s="161" t="n">
        <v>12.96</v>
      </c>
      <c r="E14" s="162" t="n">
        <v>11.2</v>
      </c>
      <c r="F14" s="160" t="n">
        <v>19.29</v>
      </c>
      <c r="G14" s="161" t="n">
        <v>12.96</v>
      </c>
      <c r="H14" s="162" t="n">
        <v>11.2</v>
      </c>
      <c r="I14" s="160" t="n">
        <v>19.29</v>
      </c>
      <c r="J14" s="161" t="n">
        <v>12.96</v>
      </c>
      <c r="K14" s="162" t="n">
        <v>11.2</v>
      </c>
      <c r="L14" s="146" t="n"/>
      <c r="M14" s="160" t="n">
        <v>6.23</v>
      </c>
      <c r="N14" s="161" t="n">
        <v>3.94</v>
      </c>
      <c r="O14" s="162" t="n">
        <v>2.59</v>
      </c>
      <c r="P14" s="160" t="n">
        <v>6.23</v>
      </c>
      <c r="Q14" s="161" t="n">
        <v>3.94</v>
      </c>
      <c r="R14" s="162" t="n">
        <v>2.59</v>
      </c>
      <c r="S14" s="160" t="n">
        <v>6.23</v>
      </c>
      <c r="T14" s="161" t="n">
        <v>3.94</v>
      </c>
      <c r="U14" s="162" t="n">
        <v>2.59</v>
      </c>
      <c r="V14" s="146" t="n"/>
      <c r="W14" s="160" t="n">
        <v>7.14</v>
      </c>
      <c r="X14" s="161" t="n">
        <v>1.69</v>
      </c>
      <c r="Y14" s="162" t="n">
        <v>1.29</v>
      </c>
      <c r="Z14" s="160" t="n">
        <v>7.14</v>
      </c>
      <c r="AA14" s="161" t="n">
        <v>1.69</v>
      </c>
      <c r="AB14" s="162" t="n">
        <v>1.29</v>
      </c>
      <c r="AC14" s="160" t="n">
        <v>7.14</v>
      </c>
      <c r="AD14" s="161" t="n">
        <v>1.69</v>
      </c>
      <c r="AE14" s="162" t="n">
        <v>1.29</v>
      </c>
      <c r="AF14" s="146" t="n"/>
      <c r="AG14" s="160" t="n">
        <v>60.8</v>
      </c>
      <c r="AH14" s="161" t="n">
        <v>77.09999999999999</v>
      </c>
      <c r="AI14" s="162" t="n">
        <v>70.5</v>
      </c>
      <c r="AJ14" s="160" t="n">
        <v>60.8</v>
      </c>
      <c r="AK14" s="161" t="n">
        <v>77.09999999999999</v>
      </c>
      <c r="AL14" s="162" t="n">
        <v>70.5</v>
      </c>
      <c r="AM14" s="160" t="n">
        <v>60.8</v>
      </c>
      <c r="AN14" s="161" t="n">
        <v>77.09999999999999</v>
      </c>
      <c r="AO14" s="162" t="n">
        <v>70.5</v>
      </c>
      <c r="AP14" s="146" t="n"/>
      <c r="AQ14" s="160" t="n">
        <v>154.9</v>
      </c>
      <c r="AR14" s="162" t="n">
        <v>161.7</v>
      </c>
      <c r="AS14" s="160" t="n">
        <v>154.9</v>
      </c>
      <c r="AT14" s="162" t="n">
        <v>161.7</v>
      </c>
      <c r="AU14" s="160" t="n">
        <v>154.9</v>
      </c>
      <c r="AV14" s="162" t="n">
        <v>161.7</v>
      </c>
      <c r="AW14" s="147" t="n"/>
    </row>
    <row r="15">
      <c r="A15" s="150" t="n"/>
      <c r="B15" s="159" t="n">
        <v>2015</v>
      </c>
      <c r="C15" s="160" t="n">
        <v>18.92</v>
      </c>
      <c r="D15" s="161" t="n">
        <v>13.38</v>
      </c>
      <c r="E15" s="162" t="n">
        <v>11.3</v>
      </c>
      <c r="F15" s="160" t="n">
        <v>18.92</v>
      </c>
      <c r="G15" s="161" t="n">
        <v>13.38</v>
      </c>
      <c r="H15" s="162" t="n">
        <v>11.3</v>
      </c>
      <c r="I15" s="160" t="n">
        <v>18.92</v>
      </c>
      <c r="J15" s="161" t="n">
        <v>13.38</v>
      </c>
      <c r="K15" s="162" t="n">
        <v>11.3</v>
      </c>
      <c r="L15" s="146" t="n"/>
      <c r="M15" s="160" t="n">
        <v>5.85</v>
      </c>
      <c r="N15" s="161" t="n">
        <v>3.54</v>
      </c>
      <c r="O15" s="162" t="n">
        <v>2.23</v>
      </c>
      <c r="P15" s="160" t="n">
        <v>5.85</v>
      </c>
      <c r="Q15" s="161" t="n">
        <v>3.54</v>
      </c>
      <c r="R15" s="162" t="n">
        <v>2.23</v>
      </c>
      <c r="S15" s="160" t="n">
        <v>5.85</v>
      </c>
      <c r="T15" s="161" t="n">
        <v>3.54</v>
      </c>
      <c r="U15" s="162" t="n">
        <v>2.23</v>
      </c>
      <c r="V15" s="146" t="n"/>
      <c r="W15" s="160" t="n">
        <v>7.11</v>
      </c>
      <c r="X15" s="161" t="n">
        <v>1.48</v>
      </c>
      <c r="Y15" s="162" t="n">
        <v>1.13</v>
      </c>
      <c r="Z15" s="160" t="n">
        <v>7.11</v>
      </c>
      <c r="AA15" s="161" t="n">
        <v>1.48</v>
      </c>
      <c r="AB15" s="162" t="n">
        <v>1.13</v>
      </c>
      <c r="AC15" s="160" t="n">
        <v>7.11</v>
      </c>
      <c r="AD15" s="161" t="n">
        <v>1.48</v>
      </c>
      <c r="AE15" s="162" t="n">
        <v>1.13</v>
      </c>
      <c r="AF15" s="146" t="n"/>
      <c r="AG15" s="160" t="n">
        <v>41</v>
      </c>
      <c r="AH15" s="161" t="n">
        <v>56.5</v>
      </c>
      <c r="AI15" s="162" t="n">
        <v>52</v>
      </c>
      <c r="AJ15" s="160" t="n">
        <v>41</v>
      </c>
      <c r="AK15" s="161" t="n">
        <v>56.5</v>
      </c>
      <c r="AL15" s="162" t="n">
        <v>52</v>
      </c>
      <c r="AM15" s="160" t="n">
        <v>41</v>
      </c>
      <c r="AN15" s="161" t="n">
        <v>56.5</v>
      </c>
      <c r="AO15" s="162" t="n">
        <v>52</v>
      </c>
      <c r="AP15" s="146" t="n"/>
      <c r="AQ15" s="160" t="n">
        <v>134.2</v>
      </c>
      <c r="AR15" s="162" t="n">
        <v>138.3</v>
      </c>
      <c r="AS15" s="160" t="n">
        <v>134.2</v>
      </c>
      <c r="AT15" s="162" t="n">
        <v>138.3</v>
      </c>
      <c r="AU15" s="160" t="n">
        <v>134.2</v>
      </c>
      <c r="AV15" s="162" t="n">
        <v>138.3</v>
      </c>
      <c r="AW15" s="147" t="n"/>
    </row>
    <row r="16">
      <c r="A16" s="150" t="n"/>
      <c r="B16" s="159" t="n">
        <v>2016</v>
      </c>
      <c r="C16" s="160" t="n">
        <v>18.3</v>
      </c>
      <c r="D16" s="161" t="n">
        <v>12.87</v>
      </c>
      <c r="E16" s="162" t="n">
        <v>11.06</v>
      </c>
      <c r="F16" s="160" t="n">
        <v>18.3</v>
      </c>
      <c r="G16" s="161" t="n">
        <v>12.87</v>
      </c>
      <c r="H16" s="162" t="n">
        <v>11.06</v>
      </c>
      <c r="I16" s="160" t="n">
        <v>18.3</v>
      </c>
      <c r="J16" s="161" t="n">
        <v>12.87</v>
      </c>
      <c r="K16" s="162" t="n">
        <v>11.06</v>
      </c>
      <c r="L16" s="146" t="n"/>
      <c r="M16" s="160" t="n">
        <v>5.23</v>
      </c>
      <c r="N16" s="161" t="n">
        <v>3.06</v>
      </c>
      <c r="O16" s="162" t="n">
        <v>1.76</v>
      </c>
      <c r="P16" s="160" t="n">
        <v>5.23</v>
      </c>
      <c r="Q16" s="161" t="n">
        <v>3.06</v>
      </c>
      <c r="R16" s="162" t="n">
        <v>1.76</v>
      </c>
      <c r="S16" s="160" t="n">
        <v>5.23</v>
      </c>
      <c r="T16" s="161" t="n">
        <v>3.06</v>
      </c>
      <c r="U16" s="162" t="n">
        <v>1.76</v>
      </c>
      <c r="V16" s="146" t="n"/>
      <c r="W16" s="160" t="n">
        <v>6.96</v>
      </c>
      <c r="X16" s="161" t="n">
        <v>1.35</v>
      </c>
      <c r="Y16" s="162" t="n">
        <v>1.04</v>
      </c>
      <c r="Z16" s="160" t="n">
        <v>6.96</v>
      </c>
      <c r="AA16" s="161" t="n">
        <v>1.35</v>
      </c>
      <c r="AB16" s="162" t="n">
        <v>1.04</v>
      </c>
      <c r="AC16" s="160" t="n">
        <v>6.96</v>
      </c>
      <c r="AD16" s="161" t="n">
        <v>1.35</v>
      </c>
      <c r="AE16" s="162" t="n">
        <v>1.04</v>
      </c>
      <c r="AF16" s="146" t="n"/>
      <c r="AG16" s="160" t="n">
        <v>36</v>
      </c>
      <c r="AH16" s="161" t="n">
        <v>49.6</v>
      </c>
      <c r="AI16" s="162" t="n">
        <v>47.9</v>
      </c>
      <c r="AJ16" s="160" t="n">
        <v>36</v>
      </c>
      <c r="AK16" s="161" t="n">
        <v>49.6</v>
      </c>
      <c r="AL16" s="162" t="n">
        <v>47.9</v>
      </c>
      <c r="AM16" s="160" t="n">
        <v>36</v>
      </c>
      <c r="AN16" s="161" t="n">
        <v>49.6</v>
      </c>
      <c r="AO16" s="162" t="n">
        <v>47.9</v>
      </c>
      <c r="AP16" s="146" t="n"/>
      <c r="AQ16" s="160" t="n">
        <v>129</v>
      </c>
      <c r="AR16" s="162" t="n">
        <v>130</v>
      </c>
      <c r="AS16" s="160" t="n">
        <v>129</v>
      </c>
      <c r="AT16" s="162" t="n">
        <v>130</v>
      </c>
      <c r="AU16" s="160" t="n">
        <v>129</v>
      </c>
      <c r="AV16" s="162" t="n">
        <v>130</v>
      </c>
      <c r="AW16" s="147" t="n"/>
    </row>
    <row r="17">
      <c r="A17" s="150" t="n"/>
      <c r="B17" s="159" t="n">
        <v>2017</v>
      </c>
      <c r="C17" s="160" t="n">
        <v>19.21</v>
      </c>
      <c r="D17" s="161" t="n">
        <v>13.15</v>
      </c>
      <c r="E17" s="162" t="n">
        <v>11.51</v>
      </c>
      <c r="F17" s="160" t="n">
        <v>19.21</v>
      </c>
      <c r="G17" s="161" t="n">
        <v>13.15</v>
      </c>
      <c r="H17" s="162" t="n">
        <v>11.51</v>
      </c>
      <c r="I17" s="160" t="n">
        <v>19.21</v>
      </c>
      <c r="J17" s="161" t="n">
        <v>13.15</v>
      </c>
      <c r="K17" s="162" t="n">
        <v>11.51</v>
      </c>
      <c r="L17" s="146" t="n"/>
      <c r="M17" s="160" t="n">
        <v>5.03</v>
      </c>
      <c r="N17" s="161" t="n">
        <v>2.88</v>
      </c>
      <c r="O17" s="162" t="n">
        <v>1.83</v>
      </c>
      <c r="P17" s="160" t="n">
        <v>5.03</v>
      </c>
      <c r="Q17" s="161" t="n">
        <v>2.88</v>
      </c>
      <c r="R17" s="162" t="n">
        <v>1.83</v>
      </c>
      <c r="S17" s="160" t="n">
        <v>5.03</v>
      </c>
      <c r="T17" s="161" t="n">
        <v>2.88</v>
      </c>
      <c r="U17" s="162" t="n">
        <v>1.83</v>
      </c>
      <c r="V17" s="146" t="n"/>
      <c r="W17" s="160" t="n">
        <v>6.99</v>
      </c>
      <c r="X17" s="161" t="n">
        <v>1.5</v>
      </c>
      <c r="Y17" s="162" t="n">
        <v>1.15</v>
      </c>
      <c r="Z17" s="160" t="n">
        <v>6.99</v>
      </c>
      <c r="AA17" s="161" t="n">
        <v>1.5</v>
      </c>
      <c r="AB17" s="162" t="n">
        <v>1.15</v>
      </c>
      <c r="AC17" s="160" t="n">
        <v>6.99</v>
      </c>
      <c r="AD17" s="161" t="n">
        <v>1.5</v>
      </c>
      <c r="AE17" s="162" t="n">
        <v>1.15</v>
      </c>
      <c r="AF17" s="146" t="n"/>
      <c r="AG17" s="160" t="n">
        <v>45.4</v>
      </c>
      <c r="AH17" s="161" t="n">
        <v>57.7</v>
      </c>
      <c r="AI17" s="162" t="n">
        <v>55.6</v>
      </c>
      <c r="AJ17" s="160" t="n">
        <v>45.4</v>
      </c>
      <c r="AK17" s="161" t="n">
        <v>57.7</v>
      </c>
      <c r="AL17" s="162" t="n">
        <v>55.6</v>
      </c>
      <c r="AM17" s="160" t="n">
        <v>45.4</v>
      </c>
      <c r="AN17" s="161" t="n">
        <v>57.7</v>
      </c>
      <c r="AO17" s="162" t="n">
        <v>55.6</v>
      </c>
      <c r="AP17" s="146" t="n"/>
      <c r="AQ17" s="160" t="n">
        <v>136.9</v>
      </c>
      <c r="AR17" s="162" t="n">
        <v>139.4</v>
      </c>
      <c r="AS17" s="160" t="n">
        <v>136.9</v>
      </c>
      <c r="AT17" s="162" t="n">
        <v>139.4</v>
      </c>
      <c r="AU17" s="160" t="n">
        <v>136.9</v>
      </c>
      <c r="AV17" s="162" t="n">
        <v>139.4</v>
      </c>
      <c r="AW17" s="147" t="n"/>
    </row>
    <row r="18">
      <c r="A18" s="150" t="n"/>
      <c r="B18" s="159" t="n">
        <v>2018</v>
      </c>
      <c r="C18" s="160" t="n">
        <v>20.46</v>
      </c>
      <c r="D18" s="161" t="n">
        <v>14.02</v>
      </c>
      <c r="E18" s="162" t="n">
        <v>11.5</v>
      </c>
      <c r="F18" s="160" t="n">
        <v>20.46</v>
      </c>
      <c r="G18" s="161" t="n">
        <v>14.02</v>
      </c>
      <c r="H18" s="162" t="n">
        <v>11.5</v>
      </c>
      <c r="I18" s="160" t="n">
        <v>20.46</v>
      </c>
      <c r="J18" s="161" t="n">
        <v>14.02</v>
      </c>
      <c r="K18" s="162" t="n">
        <v>11.5</v>
      </c>
      <c r="L18" s="146" t="n"/>
      <c r="M18" s="160" t="n">
        <v>5.03</v>
      </c>
      <c r="N18" s="161" t="n">
        <v>3.17</v>
      </c>
      <c r="O18" s="162" t="n">
        <v>2.2</v>
      </c>
      <c r="P18" s="160" t="n">
        <v>5.03</v>
      </c>
      <c r="Q18" s="161" t="n">
        <v>3.17</v>
      </c>
      <c r="R18" s="162" t="n">
        <v>2.2</v>
      </c>
      <c r="S18" s="160" t="n">
        <v>5.03</v>
      </c>
      <c r="T18" s="161" t="n">
        <v>3.17</v>
      </c>
      <c r="U18" s="162" t="n">
        <v>2.2</v>
      </c>
      <c r="V18" s="146" t="n"/>
      <c r="W18" s="160" t="n">
        <v>6.99</v>
      </c>
      <c r="X18" s="161" t="n">
        <v>1.82</v>
      </c>
      <c r="Y18" s="162" t="n">
        <v>1.39</v>
      </c>
      <c r="Z18" s="160" t="n">
        <v>6.99</v>
      </c>
      <c r="AA18" s="161" t="n">
        <v>1.82</v>
      </c>
      <c r="AB18" s="162" t="n">
        <v>1.39</v>
      </c>
      <c r="AC18" s="160" t="n">
        <v>6.99</v>
      </c>
      <c r="AD18" s="161" t="n">
        <v>1.82</v>
      </c>
      <c r="AE18" s="162" t="n">
        <v>1.39</v>
      </c>
      <c r="AF18" s="146" t="n"/>
      <c r="AG18" s="160" t="n">
        <v>55</v>
      </c>
      <c r="AH18" s="161" t="n">
        <v>65.7</v>
      </c>
      <c r="AI18" s="162" t="n">
        <v>63.3</v>
      </c>
      <c r="AJ18" s="160" t="n">
        <v>55</v>
      </c>
      <c r="AK18" s="161" t="n">
        <v>65.7</v>
      </c>
      <c r="AL18" s="162" t="n">
        <v>63.3</v>
      </c>
      <c r="AM18" s="160" t="n">
        <v>55</v>
      </c>
      <c r="AN18" s="161" t="n">
        <v>65.7</v>
      </c>
      <c r="AO18" s="162" t="n">
        <v>63.3</v>
      </c>
      <c r="AP18" s="146" t="n"/>
      <c r="AQ18" s="160" t="n">
        <v>143.4</v>
      </c>
      <c r="AR18" s="162" t="n">
        <v>148.3</v>
      </c>
      <c r="AS18" s="160" t="n">
        <v>143.4</v>
      </c>
      <c r="AT18" s="162" t="n">
        <v>148.3</v>
      </c>
      <c r="AU18" s="160" t="n">
        <v>143.4</v>
      </c>
      <c r="AV18" s="162" t="n">
        <v>148.3</v>
      </c>
      <c r="AW18" s="147" t="n"/>
    </row>
    <row r="19">
      <c r="A19" s="150" t="n"/>
      <c r="B19" s="159" t="n">
        <v>2019</v>
      </c>
      <c r="C19" s="160" t="n">
        <v>21.9</v>
      </c>
      <c r="D19" s="161" t="n">
        <v>14.31</v>
      </c>
      <c r="E19" s="162" t="n">
        <v>12.47</v>
      </c>
      <c r="F19" s="160" t="n">
        <v>21.9</v>
      </c>
      <c r="G19" s="161" t="n">
        <v>14.31</v>
      </c>
      <c r="H19" s="162" t="n">
        <v>12.47</v>
      </c>
      <c r="I19" s="160" t="n">
        <v>21.9</v>
      </c>
      <c r="J19" s="161" t="n">
        <v>14.31</v>
      </c>
      <c r="K19" s="162" t="n">
        <v>12.47</v>
      </c>
      <c r="L19" s="146" t="n"/>
      <c r="M19" s="160" t="n">
        <v>5.11</v>
      </c>
      <c r="N19" s="161" t="n">
        <v>2.96</v>
      </c>
      <c r="O19" s="162" t="n">
        <v>1.95</v>
      </c>
      <c r="P19" s="160" t="n">
        <v>5.11</v>
      </c>
      <c r="Q19" s="161" t="n">
        <v>2.96</v>
      </c>
      <c r="R19" s="162" t="n">
        <v>1.95</v>
      </c>
      <c r="S19" s="160" t="n">
        <v>5.11</v>
      </c>
      <c r="T19" s="161" t="n">
        <v>2.96</v>
      </c>
      <c r="U19" s="162" t="n">
        <v>1.95</v>
      </c>
      <c r="V19" s="146" t="n"/>
      <c r="W19" s="160" t="n">
        <v>7.1</v>
      </c>
      <c r="X19" s="161" t="n">
        <v>1.75</v>
      </c>
      <c r="Y19" s="162" t="n">
        <v>1.34</v>
      </c>
      <c r="Z19" s="160" t="n">
        <v>7.1</v>
      </c>
      <c r="AA19" s="161" t="n">
        <v>1.75</v>
      </c>
      <c r="AB19" s="162" t="n">
        <v>1.34</v>
      </c>
      <c r="AC19" s="160" t="n">
        <v>7.1</v>
      </c>
      <c r="AD19" s="161" t="n">
        <v>1.75</v>
      </c>
      <c r="AE19" s="162" t="n">
        <v>1.34</v>
      </c>
      <c r="AF19" s="146" t="n"/>
      <c r="AG19" s="160" t="n">
        <v>52.4</v>
      </c>
      <c r="AH19" s="161" t="n">
        <v>64.59999999999999</v>
      </c>
      <c r="AI19" s="162" t="n">
        <v>59.2</v>
      </c>
      <c r="AJ19" s="160" t="n">
        <v>52.4</v>
      </c>
      <c r="AK19" s="161" t="n">
        <v>64.59999999999999</v>
      </c>
      <c r="AL19" s="162" t="n">
        <v>59.2</v>
      </c>
      <c r="AM19" s="160" t="n">
        <v>52.4</v>
      </c>
      <c r="AN19" s="161" t="n">
        <v>64.59999999999999</v>
      </c>
      <c r="AO19" s="162" t="n">
        <v>59.2</v>
      </c>
      <c r="AP19" s="146" t="n"/>
      <c r="AQ19" s="160" t="n">
        <v>140.1</v>
      </c>
      <c r="AR19" s="162" t="n">
        <v>146.9</v>
      </c>
      <c r="AS19" s="160" t="n">
        <v>140.1</v>
      </c>
      <c r="AT19" s="162" t="n">
        <v>146.9</v>
      </c>
      <c r="AU19" s="160" t="n">
        <v>140.1</v>
      </c>
      <c r="AV19" s="162" t="n">
        <v>146.9</v>
      </c>
      <c r="AW19" s="147" t="n"/>
    </row>
    <row r="20">
      <c r="A20" s="150" t="n"/>
      <c r="B20" s="159" t="n">
        <v>2020</v>
      </c>
      <c r="C20" s="160" t="n">
        <v>20.72</v>
      </c>
      <c r="D20" s="161" t="n">
        <v>14.03</v>
      </c>
      <c r="E20" s="162" t="n">
        <v>12.26</v>
      </c>
      <c r="F20" s="160" t="n">
        <v>20.72</v>
      </c>
      <c r="G20" s="161" t="n">
        <v>14.03</v>
      </c>
      <c r="H20" s="162" t="n">
        <v>12.26</v>
      </c>
      <c r="I20" s="160" t="n">
        <v>20.72</v>
      </c>
      <c r="J20" s="161" t="n">
        <v>14.03</v>
      </c>
      <c r="K20" s="162" t="n">
        <v>12.26</v>
      </c>
      <c r="L20" s="146" t="n"/>
      <c r="M20" s="160" t="n">
        <v>4.59</v>
      </c>
      <c r="N20" s="161" t="n">
        <v>2.66</v>
      </c>
      <c r="O20" s="162" t="n">
        <v>1.68</v>
      </c>
      <c r="P20" s="160" t="n">
        <v>4.59</v>
      </c>
      <c r="Q20" s="161" t="n">
        <v>2.66</v>
      </c>
      <c r="R20" s="162" t="n">
        <v>1.68</v>
      </c>
      <c r="S20" s="160" t="n">
        <v>4.59</v>
      </c>
      <c r="T20" s="161" t="n">
        <v>2.66</v>
      </c>
      <c r="U20" s="162" t="n">
        <v>1.68</v>
      </c>
      <c r="V20" s="146" t="n"/>
      <c r="W20" s="160" t="n">
        <v>6.99</v>
      </c>
      <c r="X20" s="161" t="n">
        <v>1.4</v>
      </c>
      <c r="Y20" s="162" t="n">
        <v>1.07</v>
      </c>
      <c r="Z20" s="160" t="n">
        <v>6.99</v>
      </c>
      <c r="AA20" s="161" t="n">
        <v>1.4</v>
      </c>
      <c r="AB20" s="162" t="n">
        <v>1.07</v>
      </c>
      <c r="AC20" s="160" t="n">
        <v>6.99</v>
      </c>
      <c r="AD20" s="161" t="n">
        <v>1.4</v>
      </c>
      <c r="AE20" s="162" t="n">
        <v>1.07</v>
      </c>
      <c r="AF20" s="146" t="n"/>
      <c r="AG20" s="160" t="n">
        <v>31.2</v>
      </c>
      <c r="AH20" s="161" t="n">
        <v>57.3</v>
      </c>
      <c r="AI20" s="162" t="n">
        <v>45.8</v>
      </c>
      <c r="AJ20" s="160" t="n">
        <v>31.2</v>
      </c>
      <c r="AK20" s="161" t="n">
        <v>57.3</v>
      </c>
      <c r="AL20" s="162" t="n">
        <v>45.8</v>
      </c>
      <c r="AM20" s="160" t="n">
        <v>31.2</v>
      </c>
      <c r="AN20" s="161" t="n">
        <v>57.3</v>
      </c>
      <c r="AO20" s="162" t="n">
        <v>45.8</v>
      </c>
      <c r="AP20" s="146" t="n"/>
      <c r="AQ20" s="160" t="n">
        <v>120.8</v>
      </c>
      <c r="AR20" s="162" t="n">
        <v>125.7</v>
      </c>
      <c r="AS20" s="160" t="n">
        <v>120.8</v>
      </c>
      <c r="AT20" s="162" t="n">
        <v>125.7</v>
      </c>
      <c r="AU20" s="160" t="n">
        <v>120.8</v>
      </c>
      <c r="AV20" s="162" t="n">
        <v>125.7</v>
      </c>
      <c r="AW20" s="147" t="n"/>
    </row>
    <row r="21">
      <c r="A21" s="150" t="n"/>
      <c r="B21" s="159" t="n">
        <v>2021</v>
      </c>
      <c r="C21" s="160" t="n">
        <v>22.59</v>
      </c>
      <c r="D21" s="161" t="n">
        <v>15.16</v>
      </c>
      <c r="E21" s="162" t="n">
        <v>14.04</v>
      </c>
      <c r="F21" s="160" t="n">
        <v>22.59</v>
      </c>
      <c r="G21" s="161" t="n">
        <v>15.16</v>
      </c>
      <c r="H21" s="162" t="n">
        <v>14.04</v>
      </c>
      <c r="I21" s="160" t="n">
        <v>22.59</v>
      </c>
      <c r="J21" s="161" t="n">
        <v>15.16</v>
      </c>
      <c r="K21" s="162" t="n">
        <v>14.04</v>
      </c>
      <c r="L21" s="146" t="n"/>
      <c r="M21" s="160" t="n">
        <v>4.4</v>
      </c>
      <c r="N21" s="161" t="n">
        <v>3.44</v>
      </c>
      <c r="O21" s="162" t="n">
        <v>2.84</v>
      </c>
      <c r="P21" s="160" t="n">
        <v>4.4</v>
      </c>
      <c r="Q21" s="161" t="n">
        <v>3.44</v>
      </c>
      <c r="R21" s="162" t="n">
        <v>2.84</v>
      </c>
      <c r="S21" s="160" t="n">
        <v>4.4</v>
      </c>
      <c r="T21" s="161" t="n">
        <v>3.44</v>
      </c>
      <c r="U21" s="162" t="n">
        <v>2.84</v>
      </c>
      <c r="V21" s="146" t="n"/>
      <c r="W21" s="160" t="n">
        <v>7.21</v>
      </c>
      <c r="X21" s="161" t="n">
        <v>1.54</v>
      </c>
      <c r="Y21" s="162" t="n">
        <v>1.18</v>
      </c>
      <c r="Z21" s="160" t="n">
        <v>7.21</v>
      </c>
      <c r="AA21" s="161" t="n">
        <v>1.54</v>
      </c>
      <c r="AB21" s="162" t="n">
        <v>1.18</v>
      </c>
      <c r="AC21" s="160" t="n">
        <v>7.21</v>
      </c>
      <c r="AD21" s="161" t="n">
        <v>1.54</v>
      </c>
      <c r="AE21" s="162" t="n">
        <v>1.18</v>
      </c>
      <c r="AF21" s="146" t="n"/>
      <c r="AG21" s="160" t="n">
        <v>45.1</v>
      </c>
      <c r="AH21" s="161" t="n">
        <v>59.5</v>
      </c>
      <c r="AI21" s="162" t="n">
        <v>50.7</v>
      </c>
      <c r="AJ21" s="160" t="n">
        <v>45.1</v>
      </c>
      <c r="AK21" s="161" t="n">
        <v>59.5</v>
      </c>
      <c r="AL21" s="162" t="n">
        <v>50.7</v>
      </c>
      <c r="AM21" s="160" t="n">
        <v>45.1</v>
      </c>
      <c r="AN21" s="161" t="n">
        <v>59.5</v>
      </c>
      <c r="AO21" s="162" t="n">
        <v>50.7</v>
      </c>
      <c r="AP21" s="146" t="n"/>
      <c r="AQ21" s="160" t="n">
        <v>139</v>
      </c>
      <c r="AR21" s="162" t="n">
        <v>142.2</v>
      </c>
      <c r="AS21" s="160" t="n">
        <v>139</v>
      </c>
      <c r="AT21" s="162" t="n">
        <v>142.2</v>
      </c>
      <c r="AU21" s="160" t="n">
        <v>139</v>
      </c>
      <c r="AV21" s="162" t="n">
        <v>142.2</v>
      </c>
      <c r="AW21" s="147" t="n"/>
    </row>
    <row r="22">
      <c r="A22" s="150" t="n"/>
      <c r="B22" s="159" t="n">
        <v>2022</v>
      </c>
      <c r="C22" s="160" t="n">
        <v>32.64</v>
      </c>
      <c r="D22" s="161" t="n">
        <v>20.27</v>
      </c>
      <c r="E22" s="162" t="n">
        <v>19.31</v>
      </c>
      <c r="F22" s="160" t="n">
        <v>32.64</v>
      </c>
      <c r="G22" s="161" t="n">
        <v>20.27</v>
      </c>
      <c r="H22" s="162" t="n">
        <v>19.31</v>
      </c>
      <c r="I22" s="160" t="n">
        <v>32.64</v>
      </c>
      <c r="J22" s="161" t="n">
        <v>20.27</v>
      </c>
      <c r="K22" s="162" t="n">
        <v>19.31</v>
      </c>
      <c r="L22" s="146" t="n"/>
      <c r="M22" s="160" t="n">
        <v>8.56</v>
      </c>
      <c r="N22" s="161" t="n">
        <v>5.08</v>
      </c>
      <c r="O22" s="162" t="n">
        <v>5.3</v>
      </c>
      <c r="P22" s="160" t="n">
        <v>8.56</v>
      </c>
      <c r="Q22" s="161" t="n">
        <v>5.08</v>
      </c>
      <c r="R22" s="162" t="n">
        <v>5.3</v>
      </c>
      <c r="S22" s="160" t="n">
        <v>8.56</v>
      </c>
      <c r="T22" s="161" t="n">
        <v>5.08</v>
      </c>
      <c r="U22" s="162" t="n">
        <v>5.3</v>
      </c>
      <c r="V22" s="146" t="n"/>
      <c r="W22" s="160" t="n">
        <v>8.369999999999999</v>
      </c>
      <c r="X22" s="161" t="n">
        <v>2.92</v>
      </c>
      <c r="Y22" s="162" t="n">
        <v>2.24</v>
      </c>
      <c r="Z22" s="160" t="n">
        <v>8.369999999999999</v>
      </c>
      <c r="AA22" s="161" t="n">
        <v>2.92</v>
      </c>
      <c r="AB22" s="162" t="n">
        <v>2.24</v>
      </c>
      <c r="AC22" s="160" t="n">
        <v>8.369999999999999</v>
      </c>
      <c r="AD22" s="161" t="n">
        <v>2.92</v>
      </c>
      <c r="AE22" s="162" t="n">
        <v>2.24</v>
      </c>
      <c r="AF22" s="146" t="n"/>
      <c r="AG22" s="160" t="n">
        <v>80.5</v>
      </c>
      <c r="AH22" s="161" t="n">
        <v>105.6</v>
      </c>
      <c r="AI22" s="162" t="n">
        <v>84</v>
      </c>
      <c r="AJ22" s="160" t="n">
        <v>80.5</v>
      </c>
      <c r="AK22" s="161" t="n">
        <v>105.6</v>
      </c>
      <c r="AL22" s="162" t="n">
        <v>84</v>
      </c>
      <c r="AM22" s="160" t="n">
        <v>80.5</v>
      </c>
      <c r="AN22" s="161" t="n">
        <v>105.6</v>
      </c>
      <c r="AO22" s="162" t="n">
        <v>84</v>
      </c>
      <c r="AP22" s="146" t="n"/>
      <c r="AQ22" s="160" t="n">
        <v>165.3</v>
      </c>
      <c r="AR22" s="162" t="n">
        <v>177.7</v>
      </c>
      <c r="AS22" s="160" t="n">
        <v>165.3</v>
      </c>
      <c r="AT22" s="162" t="n">
        <v>177.7</v>
      </c>
      <c r="AU22" s="160" t="n">
        <v>165.3</v>
      </c>
      <c r="AV22" s="162" t="n">
        <v>177.7</v>
      </c>
      <c r="AW22" s="147" t="n"/>
    </row>
    <row r="23">
      <c r="A23" s="150" t="n"/>
      <c r="B23" s="159" t="n">
        <v>2023</v>
      </c>
      <c r="C23" s="160" t="n">
        <v>35.48</v>
      </c>
      <c r="D23" s="161" t="n">
        <v>15.38</v>
      </c>
      <c r="E23" s="162" t="n">
        <v>14</v>
      </c>
      <c r="F23" s="160" t="n">
        <v>35.48</v>
      </c>
      <c r="G23" s="161" t="n">
        <v>19.3</v>
      </c>
      <c r="H23" s="162" t="n">
        <v>17.86</v>
      </c>
      <c r="I23" s="160" t="n">
        <v>35.48</v>
      </c>
      <c r="J23" s="161" t="n">
        <v>27</v>
      </c>
      <c r="K23" s="162" t="n">
        <v>25.43</v>
      </c>
      <c r="L23" s="146" t="n"/>
      <c r="M23" s="160" t="n">
        <v>9.48</v>
      </c>
      <c r="N23" s="161" t="n">
        <v>3.58</v>
      </c>
      <c r="O23" s="162" t="n">
        <v>2.76</v>
      </c>
      <c r="P23" s="160" t="n">
        <v>9.48</v>
      </c>
      <c r="Q23" s="161" t="n">
        <v>5.06</v>
      </c>
      <c r="R23" s="162" t="n">
        <v>4.26</v>
      </c>
      <c r="S23" s="160" t="n">
        <v>9.48</v>
      </c>
      <c r="T23" s="161" t="n">
        <v>7.25</v>
      </c>
      <c r="U23" s="162" t="n">
        <v>6.47</v>
      </c>
      <c r="V23" s="146" t="n"/>
      <c r="W23" s="160" t="n">
        <v>10.37</v>
      </c>
      <c r="X23" s="161" t="n">
        <v>4.35</v>
      </c>
      <c r="Y23" s="162" t="n">
        <v>3.78</v>
      </c>
      <c r="Z23" s="160" t="n">
        <v>10.37</v>
      </c>
      <c r="AA23" s="161" t="n">
        <v>4.35</v>
      </c>
      <c r="AB23" s="162" t="n">
        <v>3.78</v>
      </c>
      <c r="AC23" s="160" t="n">
        <v>10.37</v>
      </c>
      <c r="AD23" s="161" t="n">
        <v>4.35</v>
      </c>
      <c r="AE23" s="162" t="n">
        <v>3.78</v>
      </c>
      <c r="AF23" s="146" t="n"/>
      <c r="AG23" s="160" t="n">
        <v>55.9</v>
      </c>
      <c r="AH23" s="161" t="n">
        <v>70.09999999999999</v>
      </c>
      <c r="AI23" s="162" t="n">
        <v>60.2</v>
      </c>
      <c r="AJ23" s="160" t="n">
        <v>63.8</v>
      </c>
      <c r="AK23" s="161" t="n">
        <v>77.7</v>
      </c>
      <c r="AL23" s="162" t="n">
        <v>67.8</v>
      </c>
      <c r="AM23" s="160" t="n">
        <v>74.59999999999999</v>
      </c>
      <c r="AN23" s="161" t="n">
        <v>88.09999999999999</v>
      </c>
      <c r="AO23" s="162" t="n">
        <v>78.2</v>
      </c>
      <c r="AP23" s="146" t="n"/>
      <c r="AQ23" s="160" t="n">
        <v>138.7</v>
      </c>
      <c r="AR23" s="162" t="n">
        <v>140.1</v>
      </c>
      <c r="AS23" s="160" t="n">
        <v>148</v>
      </c>
      <c r="AT23" s="162" t="n">
        <v>149.6</v>
      </c>
      <c r="AU23" s="160" t="n">
        <v>160.7</v>
      </c>
      <c r="AV23" s="162" t="n">
        <v>162.6</v>
      </c>
      <c r="AW23" s="147" t="n"/>
    </row>
    <row r="24">
      <c r="A24" s="150" t="n"/>
      <c r="B24" s="159" t="n">
        <v>2024</v>
      </c>
      <c r="C24" s="160" t="n">
        <v>24.58</v>
      </c>
      <c r="D24" s="161" t="n">
        <v>13.09</v>
      </c>
      <c r="E24" s="162" t="n">
        <v>11.63</v>
      </c>
      <c r="F24" s="160" t="n">
        <v>32.93</v>
      </c>
      <c r="G24" s="161" t="n">
        <v>19.56</v>
      </c>
      <c r="H24" s="162" t="n">
        <v>18.05</v>
      </c>
      <c r="I24" s="160" t="n">
        <v>54.91</v>
      </c>
      <c r="J24" s="161" t="n">
        <v>37.8</v>
      </c>
      <c r="K24" s="162" t="n">
        <v>36.04</v>
      </c>
      <c r="L24" s="146" t="n"/>
      <c r="M24" s="160" t="n">
        <v>4.85</v>
      </c>
      <c r="N24" s="161" t="n">
        <v>3.06</v>
      </c>
      <c r="O24" s="162" t="n">
        <v>2.21</v>
      </c>
      <c r="P24" s="160" t="n">
        <v>7.62</v>
      </c>
      <c r="Q24" s="161" t="n">
        <v>5.52</v>
      </c>
      <c r="R24" s="162" t="n">
        <v>4.69</v>
      </c>
      <c r="S24" s="160" t="n">
        <v>13.99</v>
      </c>
      <c r="T24" s="161" t="n">
        <v>12.33</v>
      </c>
      <c r="U24" s="162" t="n">
        <v>11.56</v>
      </c>
      <c r="V24" s="146" t="n"/>
      <c r="W24" s="160" t="n">
        <v>8.67</v>
      </c>
      <c r="X24" s="161" t="n">
        <v>3.14</v>
      </c>
      <c r="Y24" s="162" t="n">
        <v>2.51</v>
      </c>
      <c r="Z24" s="160" t="n">
        <v>9.5</v>
      </c>
      <c r="AA24" s="161" t="n">
        <v>3.78</v>
      </c>
      <c r="AB24" s="162" t="n">
        <v>3.14</v>
      </c>
      <c r="AC24" s="160" t="n">
        <v>11.96</v>
      </c>
      <c r="AD24" s="161" t="n">
        <v>5.65</v>
      </c>
      <c r="AE24" s="162" t="n">
        <v>5.02</v>
      </c>
      <c r="AF24" s="146" t="n"/>
      <c r="AG24" s="160" t="n">
        <v>38.2</v>
      </c>
      <c r="AH24" s="161" t="n">
        <v>53.3</v>
      </c>
      <c r="AI24" s="162" t="n">
        <v>43.4</v>
      </c>
      <c r="AJ24" s="160" t="n">
        <v>56.9</v>
      </c>
      <c r="AK24" s="161" t="n">
        <v>71.3</v>
      </c>
      <c r="AL24" s="162" t="n">
        <v>61.4</v>
      </c>
      <c r="AM24" s="160" t="n">
        <v>86.90000000000001</v>
      </c>
      <c r="AN24" s="161" t="n">
        <v>100.1</v>
      </c>
      <c r="AO24" s="162" t="n">
        <v>90.2</v>
      </c>
      <c r="AP24" s="146" t="n"/>
      <c r="AQ24" s="160" t="n">
        <v>122.3</v>
      </c>
      <c r="AR24" s="162" t="n">
        <v>123.3</v>
      </c>
      <c r="AS24" s="160" t="n">
        <v>144.6</v>
      </c>
      <c r="AT24" s="162" t="n">
        <v>146</v>
      </c>
      <c r="AU24" s="160" t="n">
        <v>180.1</v>
      </c>
      <c r="AV24" s="162" t="n">
        <v>182.1</v>
      </c>
      <c r="AW24" s="147" t="n"/>
    </row>
    <row r="25">
      <c r="A25" s="150" t="n"/>
      <c r="B25" s="159" t="n">
        <v>2025</v>
      </c>
      <c r="C25" s="160" t="n">
        <v>23.92</v>
      </c>
      <c r="D25" s="161" t="n">
        <v>12.53</v>
      </c>
      <c r="E25" s="162" t="n">
        <v>10.82</v>
      </c>
      <c r="F25" s="160" t="n">
        <v>30.24</v>
      </c>
      <c r="G25" s="161" t="n">
        <v>18.82</v>
      </c>
      <c r="H25" s="162" t="n">
        <v>17.09</v>
      </c>
      <c r="I25" s="160" t="n">
        <v>54.38</v>
      </c>
      <c r="J25" s="161" t="n">
        <v>42.69</v>
      </c>
      <c r="K25" s="162" t="n">
        <v>40.68</v>
      </c>
      <c r="L25" s="146" t="n"/>
      <c r="M25" s="160" t="n">
        <v>5.36</v>
      </c>
      <c r="N25" s="161" t="n">
        <v>2.49</v>
      </c>
      <c r="O25" s="162" t="n">
        <v>1.61</v>
      </c>
      <c r="P25" s="160" t="n">
        <v>7.87</v>
      </c>
      <c r="Q25" s="161" t="n">
        <v>4.84</v>
      </c>
      <c r="R25" s="162" t="n">
        <v>3.99</v>
      </c>
      <c r="S25" s="160" t="n">
        <v>14.84</v>
      </c>
      <c r="T25" s="161" t="n">
        <v>13.92</v>
      </c>
      <c r="U25" s="162" t="n">
        <v>13.15</v>
      </c>
      <c r="V25" s="146" t="n"/>
      <c r="W25" s="160" t="n">
        <v>8.57</v>
      </c>
      <c r="X25" s="161" t="n">
        <v>3.18</v>
      </c>
      <c r="Y25" s="162" t="n">
        <v>2.48</v>
      </c>
      <c r="Z25" s="160" t="n">
        <v>9.369999999999999</v>
      </c>
      <c r="AA25" s="161" t="n">
        <v>3.79</v>
      </c>
      <c r="AB25" s="162" t="n">
        <v>3.09</v>
      </c>
      <c r="AC25" s="160" t="n">
        <v>11.68</v>
      </c>
      <c r="AD25" s="161" t="n">
        <v>5.55</v>
      </c>
      <c r="AE25" s="162" t="n">
        <v>4.84</v>
      </c>
      <c r="AF25" s="146" t="n"/>
      <c r="AG25" s="160" t="n">
        <v>31.1</v>
      </c>
      <c r="AH25" s="161" t="n">
        <v>46.6</v>
      </c>
      <c r="AI25" s="162" t="n">
        <v>36.7</v>
      </c>
      <c r="AJ25" s="160" t="n">
        <v>52.7</v>
      </c>
      <c r="AK25" s="161" t="n">
        <v>67.5</v>
      </c>
      <c r="AL25" s="162" t="n">
        <v>57.6</v>
      </c>
      <c r="AM25" s="160" t="n">
        <v>94.40000000000001</v>
      </c>
      <c r="AN25" s="161" t="n">
        <v>107.8</v>
      </c>
      <c r="AO25" s="162" t="n">
        <v>97.90000000000001</v>
      </c>
      <c r="AP25" s="146" t="n"/>
      <c r="AQ25" s="160" t="n">
        <v>115.3</v>
      </c>
      <c r="AR25" s="162" t="n">
        <v>116.2</v>
      </c>
      <c r="AS25" s="160" t="n">
        <v>141.1</v>
      </c>
      <c r="AT25" s="162" t="n">
        <v>142.3</v>
      </c>
      <c r="AU25" s="160" t="n">
        <v>191</v>
      </c>
      <c r="AV25" s="162" t="n">
        <v>193</v>
      </c>
      <c r="AW25" s="147" t="n"/>
    </row>
    <row r="26">
      <c r="A26" s="150" t="n"/>
      <c r="B26" s="159" t="n">
        <v>2026</v>
      </c>
      <c r="C26" s="160" t="n">
        <v>22.47</v>
      </c>
      <c r="D26" s="161" t="n">
        <v>15.02</v>
      </c>
      <c r="E26" s="162" t="n">
        <v>13.32</v>
      </c>
      <c r="F26" s="160" t="n">
        <v>28.95</v>
      </c>
      <c r="G26" s="161" t="n">
        <v>17.62</v>
      </c>
      <c r="H26" s="162" t="n">
        <v>15.99</v>
      </c>
      <c r="I26" s="160" t="n">
        <v>53.84</v>
      </c>
      <c r="J26" s="161" t="n">
        <v>23.03</v>
      </c>
      <c r="K26" s="162" t="n">
        <v>21.52</v>
      </c>
      <c r="L26" s="146" t="n"/>
      <c r="M26" s="160" t="n">
        <v>4.57</v>
      </c>
      <c r="N26" s="161" t="n">
        <v>3.03</v>
      </c>
      <c r="O26" s="162" t="n">
        <v>2.15</v>
      </c>
      <c r="P26" s="160" t="n">
        <v>6.98</v>
      </c>
      <c r="Q26" s="161" t="n">
        <v>5.02</v>
      </c>
      <c r="R26" s="162" t="n">
        <v>4.16</v>
      </c>
      <c r="S26" s="160" t="n">
        <v>16.27</v>
      </c>
      <c r="T26" s="161" t="n">
        <v>9.359999999999999</v>
      </c>
      <c r="U26" s="162" t="n">
        <v>8.539999999999999</v>
      </c>
      <c r="V26" s="146" t="n"/>
      <c r="W26" s="160" t="n">
        <v>8.48</v>
      </c>
      <c r="X26" s="161" t="n">
        <v>3.13</v>
      </c>
      <c r="Y26" s="162" t="n">
        <v>2.42</v>
      </c>
      <c r="Z26" s="160" t="n">
        <v>9.26</v>
      </c>
      <c r="AA26" s="161" t="n">
        <v>3.73</v>
      </c>
      <c r="AB26" s="162" t="n">
        <v>3.01</v>
      </c>
      <c r="AC26" s="160" t="n">
        <v>11.42</v>
      </c>
      <c r="AD26" s="161" t="n">
        <v>5.37</v>
      </c>
      <c r="AE26" s="162" t="n">
        <v>4.65</v>
      </c>
      <c r="AF26" s="146" t="n"/>
      <c r="AG26" s="160" t="n">
        <v>31.6</v>
      </c>
      <c r="AH26" s="161" t="n">
        <v>47.3</v>
      </c>
      <c r="AI26" s="162" t="n">
        <v>37.4</v>
      </c>
      <c r="AJ26" s="160" t="n">
        <v>53.1</v>
      </c>
      <c r="AK26" s="161" t="n">
        <v>68.2</v>
      </c>
      <c r="AL26" s="162" t="n">
        <v>58.3</v>
      </c>
      <c r="AM26" s="160" t="n">
        <v>96</v>
      </c>
      <c r="AN26" s="161" t="n">
        <v>109.9</v>
      </c>
      <c r="AO26" s="162" t="n">
        <v>100</v>
      </c>
      <c r="AP26" s="146" t="n"/>
      <c r="AQ26" s="160" t="n">
        <v>116.6</v>
      </c>
      <c r="AR26" s="162" t="n">
        <v>117.4</v>
      </c>
      <c r="AS26" s="160" t="n">
        <v>142.5</v>
      </c>
      <c r="AT26" s="162" t="n">
        <v>143.7</v>
      </c>
      <c r="AU26" s="160" t="n">
        <v>194.2</v>
      </c>
      <c r="AV26" s="162" t="n">
        <v>196.2</v>
      </c>
      <c r="AW26" s="147" t="n"/>
    </row>
    <row r="27">
      <c r="A27" s="150" t="n"/>
      <c r="B27" s="159" t="n">
        <v>2027</v>
      </c>
      <c r="C27" s="160" t="n">
        <v>24.28</v>
      </c>
      <c r="D27" s="161" t="n">
        <v>14.31</v>
      </c>
      <c r="E27" s="162" t="n">
        <v>12.66</v>
      </c>
      <c r="F27" s="160" t="n">
        <v>26.81</v>
      </c>
      <c r="G27" s="161" t="n">
        <v>16.21</v>
      </c>
      <c r="H27" s="162" t="n">
        <v>14.61</v>
      </c>
      <c r="I27" s="160" t="n">
        <v>31.98</v>
      </c>
      <c r="J27" s="161" t="n">
        <v>20.27</v>
      </c>
      <c r="K27" s="162" t="n">
        <v>18.86</v>
      </c>
      <c r="L27" s="146" t="n"/>
      <c r="M27" s="160" t="n">
        <v>5.05</v>
      </c>
      <c r="N27" s="161" t="n">
        <v>2.9</v>
      </c>
      <c r="O27" s="162" t="n">
        <v>2.02</v>
      </c>
      <c r="P27" s="160" t="n">
        <v>7.09</v>
      </c>
      <c r="Q27" s="161" t="n">
        <v>4.7</v>
      </c>
      <c r="R27" s="162" t="n">
        <v>3.84</v>
      </c>
      <c r="S27" s="160" t="n">
        <v>11.53</v>
      </c>
      <c r="T27" s="161" t="n">
        <v>8.76</v>
      </c>
      <c r="U27" s="162" t="n">
        <v>7.93</v>
      </c>
      <c r="V27" s="146" t="n"/>
      <c r="W27" s="160" t="n">
        <v>8.56</v>
      </c>
      <c r="X27" s="161" t="n">
        <v>3.2</v>
      </c>
      <c r="Y27" s="162" t="n">
        <v>2.48</v>
      </c>
      <c r="Z27" s="160" t="n">
        <v>9.41</v>
      </c>
      <c r="AA27" s="161" t="n">
        <v>3.85</v>
      </c>
      <c r="AB27" s="162" t="n">
        <v>3.13</v>
      </c>
      <c r="AC27" s="160" t="n">
        <v>11.51</v>
      </c>
      <c r="AD27" s="161" t="n">
        <v>5.45</v>
      </c>
      <c r="AE27" s="162" t="n">
        <v>4.73</v>
      </c>
      <c r="AF27" s="146" t="n"/>
      <c r="AG27" s="160" t="n">
        <v>31</v>
      </c>
      <c r="AH27" s="161" t="n">
        <v>46.9</v>
      </c>
      <c r="AI27" s="162" t="n">
        <v>37</v>
      </c>
      <c r="AJ27" s="160" t="n">
        <v>51.9</v>
      </c>
      <c r="AK27" s="161" t="n">
        <v>67.09999999999999</v>
      </c>
      <c r="AL27" s="162" t="n">
        <v>57.2</v>
      </c>
      <c r="AM27" s="160" t="n">
        <v>96.2</v>
      </c>
      <c r="AN27" s="161" t="n">
        <v>110.2</v>
      </c>
      <c r="AO27" s="162" t="n">
        <v>100.3</v>
      </c>
      <c r="AP27" s="146" t="n"/>
      <c r="AQ27" s="160" t="n">
        <v>116.7</v>
      </c>
      <c r="AR27" s="162" t="n">
        <v>117.5</v>
      </c>
      <c r="AS27" s="160" t="n">
        <v>141.8</v>
      </c>
      <c r="AT27" s="162" t="n">
        <v>143</v>
      </c>
      <c r="AU27" s="160" t="n">
        <v>195.2</v>
      </c>
      <c r="AV27" s="162" t="n">
        <v>197.2</v>
      </c>
      <c r="AW27" s="147" t="n"/>
    </row>
    <row r="28">
      <c r="A28" s="150" t="n"/>
      <c r="B28" s="159" t="n">
        <v>2028</v>
      </c>
      <c r="C28" s="160" t="n">
        <v>23.64</v>
      </c>
      <c r="D28" s="161" t="n">
        <v>13.23</v>
      </c>
      <c r="E28" s="162" t="n">
        <v>11.49</v>
      </c>
      <c r="F28" s="160" t="n">
        <v>25.56</v>
      </c>
      <c r="G28" s="161" t="n">
        <v>14.5</v>
      </c>
      <c r="H28" s="162" t="n">
        <v>12.85</v>
      </c>
      <c r="I28" s="160" t="n">
        <v>29.36</v>
      </c>
      <c r="J28" s="161" t="n">
        <v>16.81</v>
      </c>
      <c r="K28" s="162" t="n">
        <v>15.43</v>
      </c>
      <c r="L28" s="146" t="n"/>
      <c r="M28" s="160" t="n">
        <v>4.86</v>
      </c>
      <c r="N28" s="161" t="n">
        <v>2.77</v>
      </c>
      <c r="O28" s="162" t="n">
        <v>1.89</v>
      </c>
      <c r="P28" s="160" t="n">
        <v>6.7</v>
      </c>
      <c r="Q28" s="161" t="n">
        <v>4.38</v>
      </c>
      <c r="R28" s="162" t="n">
        <v>3.52</v>
      </c>
      <c r="S28" s="160" t="n">
        <v>10.85</v>
      </c>
      <c r="T28" s="161" t="n">
        <v>8.15</v>
      </c>
      <c r="U28" s="162" t="n">
        <v>7.32</v>
      </c>
      <c r="V28" s="146" t="n"/>
      <c r="W28" s="160" t="n">
        <v>8.51</v>
      </c>
      <c r="X28" s="161" t="n">
        <v>3.17</v>
      </c>
      <c r="Y28" s="162" t="n">
        <v>2.44</v>
      </c>
      <c r="Z28" s="160" t="n">
        <v>9.34</v>
      </c>
      <c r="AA28" s="161" t="n">
        <v>3.8</v>
      </c>
      <c r="AB28" s="162" t="n">
        <v>3.08</v>
      </c>
      <c r="AC28" s="160" t="n">
        <v>11.31</v>
      </c>
      <c r="AD28" s="161" t="n">
        <v>5.3</v>
      </c>
      <c r="AE28" s="162" t="n">
        <v>4.58</v>
      </c>
      <c r="AF28" s="146" t="n"/>
      <c r="AG28" s="160" t="n">
        <v>30.3</v>
      </c>
      <c r="AH28" s="161" t="n">
        <v>46.3</v>
      </c>
      <c r="AI28" s="162" t="n">
        <v>36.4</v>
      </c>
      <c r="AJ28" s="160" t="n">
        <v>51.1</v>
      </c>
      <c r="AK28" s="161" t="n">
        <v>66.5</v>
      </c>
      <c r="AL28" s="162" t="n">
        <v>56.6</v>
      </c>
      <c r="AM28" s="160" t="n">
        <v>96</v>
      </c>
      <c r="AN28" s="161" t="n">
        <v>110.1</v>
      </c>
      <c r="AO28" s="162" t="n">
        <v>100.2</v>
      </c>
      <c r="AP28" s="146" t="n"/>
      <c r="AQ28" s="160" t="n">
        <v>116.5</v>
      </c>
      <c r="AR28" s="162" t="n">
        <v>117.2</v>
      </c>
      <c r="AS28" s="160" t="n">
        <v>141.5</v>
      </c>
      <c r="AT28" s="162" t="n">
        <v>142.7</v>
      </c>
      <c r="AU28" s="160" t="n">
        <v>195.6</v>
      </c>
      <c r="AV28" s="162" t="n">
        <v>197.5</v>
      </c>
      <c r="AW28" s="147" t="n"/>
    </row>
    <row r="29">
      <c r="A29" s="150" t="n"/>
      <c r="B29" s="159" t="n">
        <v>2029</v>
      </c>
      <c r="C29" s="160" t="n">
        <v>23.18</v>
      </c>
      <c r="D29" s="161" t="n">
        <v>13.24</v>
      </c>
      <c r="E29" s="162" t="n">
        <v>11.21</v>
      </c>
      <c r="F29" s="160" t="n">
        <v>24.64</v>
      </c>
      <c r="G29" s="161" t="n">
        <v>14.17</v>
      </c>
      <c r="H29" s="162" t="n">
        <v>12.46</v>
      </c>
      <c r="I29" s="160" t="n">
        <v>27.28</v>
      </c>
      <c r="J29" s="161" t="n">
        <v>15.94</v>
      </c>
      <c r="K29" s="162" t="n">
        <v>14.4</v>
      </c>
      <c r="L29" s="146" t="n"/>
      <c r="M29" s="160" t="n">
        <v>4.69</v>
      </c>
      <c r="N29" s="161" t="n">
        <v>2.63</v>
      </c>
      <c r="O29" s="162" t="n">
        <v>1.76</v>
      </c>
      <c r="P29" s="160" t="n">
        <v>6.34</v>
      </c>
      <c r="Q29" s="161" t="n">
        <v>4.06</v>
      </c>
      <c r="R29" s="162" t="n">
        <v>3.2</v>
      </c>
      <c r="S29" s="160" t="n">
        <v>10.2</v>
      </c>
      <c r="T29" s="161" t="n">
        <v>7.54</v>
      </c>
      <c r="U29" s="162" t="n">
        <v>6.71</v>
      </c>
      <c r="V29" s="146" t="n"/>
      <c r="W29" s="160" t="n">
        <v>8.43</v>
      </c>
      <c r="X29" s="161" t="n">
        <v>3.11</v>
      </c>
      <c r="Y29" s="162" t="n">
        <v>2.38</v>
      </c>
      <c r="Z29" s="160" t="n">
        <v>9.27</v>
      </c>
      <c r="AA29" s="161" t="n">
        <v>3.76</v>
      </c>
      <c r="AB29" s="162" t="n">
        <v>3.03</v>
      </c>
      <c r="AC29" s="160" t="n">
        <v>11.07</v>
      </c>
      <c r="AD29" s="161" t="n">
        <v>5.13</v>
      </c>
      <c r="AE29" s="162" t="n">
        <v>4.39</v>
      </c>
      <c r="AF29" s="146" t="n"/>
      <c r="AG29" s="160" t="n">
        <v>29.7</v>
      </c>
      <c r="AH29" s="161" t="n">
        <v>45.7</v>
      </c>
      <c r="AI29" s="162" t="n">
        <v>35.8</v>
      </c>
      <c r="AJ29" s="160" t="n">
        <v>50.5</v>
      </c>
      <c r="AK29" s="161" t="n">
        <v>65.90000000000001</v>
      </c>
      <c r="AL29" s="162" t="n">
        <v>56</v>
      </c>
      <c r="AM29" s="160" t="n">
        <v>96.59999999999999</v>
      </c>
      <c r="AN29" s="161" t="n">
        <v>110.8</v>
      </c>
      <c r="AO29" s="162" t="n">
        <v>100.9</v>
      </c>
      <c r="AP29" s="146" t="n"/>
      <c r="AQ29" s="160" t="n">
        <v>116.2</v>
      </c>
      <c r="AR29" s="162" t="n">
        <v>117</v>
      </c>
      <c r="AS29" s="160" t="n">
        <v>141.3</v>
      </c>
      <c r="AT29" s="162" t="n">
        <v>142.4</v>
      </c>
      <c r="AU29" s="160" t="n">
        <v>196.9</v>
      </c>
      <c r="AV29" s="162" t="n">
        <v>198.9</v>
      </c>
      <c r="AW29" s="147" t="n"/>
    </row>
    <row r="30">
      <c r="A30" s="150" t="n"/>
      <c r="B30" s="159" t="n">
        <v>2030</v>
      </c>
      <c r="C30" s="160" t="n">
        <v>22.66</v>
      </c>
      <c r="D30" s="161" t="n">
        <v>13.26</v>
      </c>
      <c r="E30" s="162" t="n">
        <v>10.93</v>
      </c>
      <c r="F30" s="160" t="n">
        <v>24.1</v>
      </c>
      <c r="G30" s="161" t="n">
        <v>13.85</v>
      </c>
      <c r="H30" s="162" t="n">
        <v>12.15</v>
      </c>
      <c r="I30" s="160" t="n">
        <v>26.52</v>
      </c>
      <c r="J30" s="161" t="n">
        <v>15.09</v>
      </c>
      <c r="K30" s="162" t="n">
        <v>13.9</v>
      </c>
      <c r="L30" s="146" t="n"/>
      <c r="M30" s="160" t="n">
        <v>4.53</v>
      </c>
      <c r="N30" s="161" t="n">
        <v>2.5</v>
      </c>
      <c r="O30" s="162" t="n">
        <v>1.63</v>
      </c>
      <c r="P30" s="160" t="n">
        <v>5.98</v>
      </c>
      <c r="Q30" s="161" t="n">
        <v>3.7</v>
      </c>
      <c r="R30" s="162" t="n">
        <v>2.84</v>
      </c>
      <c r="S30" s="160" t="n">
        <v>9.550000000000001</v>
      </c>
      <c r="T30" s="161" t="n">
        <v>6.93</v>
      </c>
      <c r="U30" s="162" t="n">
        <v>6.1</v>
      </c>
      <c r="V30" s="146" t="n"/>
      <c r="W30" s="160" t="n">
        <v>8.369999999999999</v>
      </c>
      <c r="X30" s="161" t="n">
        <v>3.07</v>
      </c>
      <c r="Y30" s="162" t="n">
        <v>2.34</v>
      </c>
      <c r="Z30" s="160" t="n">
        <v>9.199999999999999</v>
      </c>
      <c r="AA30" s="161" t="n">
        <v>3.71</v>
      </c>
      <c r="AB30" s="162" t="n">
        <v>2.97</v>
      </c>
      <c r="AC30" s="160" t="n">
        <v>10.86</v>
      </c>
      <c r="AD30" s="161" t="n">
        <v>4.97</v>
      </c>
      <c r="AE30" s="162" t="n">
        <v>4.24</v>
      </c>
      <c r="AF30" s="146" t="n"/>
      <c r="AG30" s="160" t="n">
        <v>29.7</v>
      </c>
      <c r="AH30" s="161" t="n">
        <v>45.7</v>
      </c>
      <c r="AI30" s="162" t="n">
        <v>35.8</v>
      </c>
      <c r="AJ30" s="160" t="n">
        <v>49.2</v>
      </c>
      <c r="AK30" s="161" t="n">
        <v>64.7</v>
      </c>
      <c r="AL30" s="162" t="n">
        <v>54.8</v>
      </c>
      <c r="AM30" s="160" t="n">
        <v>96.59999999999999</v>
      </c>
      <c r="AN30" s="161" t="n">
        <v>110.8</v>
      </c>
      <c r="AO30" s="162" t="n">
        <v>100.9</v>
      </c>
      <c r="AP30" s="146" t="n"/>
      <c r="AQ30" s="160" t="n">
        <v>116.2</v>
      </c>
      <c r="AR30" s="162" t="n">
        <v>117</v>
      </c>
      <c r="AS30" s="160" t="n">
        <v>139.7</v>
      </c>
      <c r="AT30" s="162" t="n">
        <v>140.8</v>
      </c>
      <c r="AU30" s="160" t="n">
        <v>196.9</v>
      </c>
      <c r="AV30" s="162" t="n">
        <v>198.9</v>
      </c>
      <c r="AW30" s="147" t="n"/>
    </row>
    <row r="31">
      <c r="A31" s="150" t="n"/>
      <c r="B31" s="159" t="n">
        <v>2031</v>
      </c>
      <c r="C31" s="160" t="n">
        <v>21.8</v>
      </c>
      <c r="D31" s="161" t="n">
        <v>13.33</v>
      </c>
      <c r="E31" s="162" t="n">
        <v>11.08</v>
      </c>
      <c r="F31" s="160" t="n">
        <v>23.18</v>
      </c>
      <c r="G31" s="161" t="n">
        <v>13.92</v>
      </c>
      <c r="H31" s="162" t="n">
        <v>12.32</v>
      </c>
      <c r="I31" s="160" t="n">
        <v>24.61</v>
      </c>
      <c r="J31" s="161" t="n">
        <v>15.14</v>
      </c>
      <c r="K31" s="162" t="n">
        <v>14.09</v>
      </c>
      <c r="L31" s="146" t="n"/>
      <c r="M31" s="160" t="n">
        <v>4.37</v>
      </c>
      <c r="N31" s="161" t="n">
        <v>2.46</v>
      </c>
      <c r="O31" s="162" t="n">
        <v>1.58</v>
      </c>
      <c r="P31" s="160" t="n">
        <v>5.6</v>
      </c>
      <c r="Q31" s="161" t="n">
        <v>3.7</v>
      </c>
      <c r="R31" s="162" t="n">
        <v>2.84</v>
      </c>
      <c r="S31" s="160" t="n">
        <v>8.91</v>
      </c>
      <c r="T31" s="161" t="n">
        <v>6.91</v>
      </c>
      <c r="U31" s="162" t="n">
        <v>6.08</v>
      </c>
      <c r="V31" s="146" t="n"/>
      <c r="W31" s="160" t="n">
        <v>8.289999999999999</v>
      </c>
      <c r="X31" s="161" t="n">
        <v>3.02</v>
      </c>
      <c r="Y31" s="162" t="n">
        <v>2.28</v>
      </c>
      <c r="Z31" s="160" t="n">
        <v>9.140000000000001</v>
      </c>
      <c r="AA31" s="161" t="n">
        <v>3.67</v>
      </c>
      <c r="AB31" s="162" t="n">
        <v>2.93</v>
      </c>
      <c r="AC31" s="160" t="n">
        <v>10.63</v>
      </c>
      <c r="AD31" s="161" t="n">
        <v>4.81</v>
      </c>
      <c r="AE31" s="162" t="n">
        <v>4.07</v>
      </c>
      <c r="AF31" s="146" t="n"/>
      <c r="AG31" s="160" t="n">
        <v>29</v>
      </c>
      <c r="AH31" s="161" t="n">
        <v>45</v>
      </c>
      <c r="AI31" s="162" t="n">
        <v>35.1</v>
      </c>
      <c r="AJ31" s="160" t="n">
        <v>49.2</v>
      </c>
      <c r="AK31" s="161" t="n">
        <v>64.59999999999999</v>
      </c>
      <c r="AL31" s="162" t="n">
        <v>54.7</v>
      </c>
      <c r="AM31" s="160" t="n">
        <v>96.59999999999999</v>
      </c>
      <c r="AN31" s="161" t="n">
        <v>110.8</v>
      </c>
      <c r="AO31" s="162" t="n">
        <v>100.9</v>
      </c>
      <c r="AP31" s="146" t="n"/>
      <c r="AQ31" s="160" t="n">
        <v>115.2</v>
      </c>
      <c r="AR31" s="162" t="n">
        <v>116</v>
      </c>
      <c r="AS31" s="160" t="n">
        <v>139.5</v>
      </c>
      <c r="AT31" s="162" t="n">
        <v>140.6</v>
      </c>
      <c r="AU31" s="160" t="n">
        <v>196.7</v>
      </c>
      <c r="AV31" s="162" t="n">
        <v>198.7</v>
      </c>
      <c r="AW31" s="147" t="n"/>
    </row>
    <row r="32">
      <c r="A32" s="150" t="n"/>
      <c r="B32" s="159" t="n">
        <v>2032</v>
      </c>
      <c r="C32" s="160" t="n">
        <v>21.36</v>
      </c>
      <c r="D32" s="161" t="n">
        <v>12.9</v>
      </c>
      <c r="E32" s="162" t="n">
        <v>10.83</v>
      </c>
      <c r="F32" s="160" t="n">
        <v>22.71</v>
      </c>
      <c r="G32" s="161" t="n">
        <v>13.47</v>
      </c>
      <c r="H32" s="162" t="n">
        <v>12.04</v>
      </c>
      <c r="I32" s="160" t="n">
        <v>24.12</v>
      </c>
      <c r="J32" s="161" t="n">
        <v>14.77</v>
      </c>
      <c r="K32" s="162" t="n">
        <v>13.77</v>
      </c>
      <c r="L32" s="146" t="n"/>
      <c r="M32" s="160" t="n">
        <v>4.31</v>
      </c>
      <c r="N32" s="161" t="n">
        <v>2.41</v>
      </c>
      <c r="O32" s="162" t="n">
        <v>1.54</v>
      </c>
      <c r="P32" s="160" t="n">
        <v>5.58</v>
      </c>
      <c r="Q32" s="161" t="n">
        <v>3.71</v>
      </c>
      <c r="R32" s="162" t="n">
        <v>2.84</v>
      </c>
      <c r="S32" s="160" t="n">
        <v>8.869999999999999</v>
      </c>
      <c r="T32" s="161" t="n">
        <v>6.9</v>
      </c>
      <c r="U32" s="162" t="n">
        <v>6.06</v>
      </c>
      <c r="V32" s="146" t="n"/>
      <c r="W32" s="160" t="n">
        <v>8.23</v>
      </c>
      <c r="X32" s="161" t="n">
        <v>2.98</v>
      </c>
      <c r="Y32" s="162" t="n">
        <v>2.24</v>
      </c>
      <c r="Z32" s="160" t="n">
        <v>9.06</v>
      </c>
      <c r="AA32" s="161" t="n">
        <v>3.61</v>
      </c>
      <c r="AB32" s="162" t="n">
        <v>2.87</v>
      </c>
      <c r="AC32" s="160" t="n">
        <v>10.42</v>
      </c>
      <c r="AD32" s="161" t="n">
        <v>4.65</v>
      </c>
      <c r="AE32" s="162" t="n">
        <v>3.91</v>
      </c>
      <c r="AF32" s="146" t="n"/>
      <c r="AG32" s="160" t="n">
        <v>28.4</v>
      </c>
      <c r="AH32" s="161" t="n">
        <v>44.4</v>
      </c>
      <c r="AI32" s="162" t="n">
        <v>34.5</v>
      </c>
      <c r="AJ32" s="160" t="n">
        <v>49.2</v>
      </c>
      <c r="AK32" s="161" t="n">
        <v>64.59999999999999</v>
      </c>
      <c r="AL32" s="162" t="n">
        <v>54.7</v>
      </c>
      <c r="AM32" s="160" t="n">
        <v>97.3</v>
      </c>
      <c r="AN32" s="161" t="n">
        <v>111.4</v>
      </c>
      <c r="AO32" s="162" t="n">
        <v>101.5</v>
      </c>
      <c r="AP32" s="146" t="n"/>
      <c r="AQ32" s="160" t="n">
        <v>114.3</v>
      </c>
      <c r="AR32" s="162" t="n">
        <v>115</v>
      </c>
      <c r="AS32" s="160" t="n">
        <v>139.3</v>
      </c>
      <c r="AT32" s="162" t="n">
        <v>140.4</v>
      </c>
      <c r="AU32" s="160" t="n">
        <v>197.3</v>
      </c>
      <c r="AV32" s="162" t="n">
        <v>199.3</v>
      </c>
      <c r="AW32" s="147" t="n"/>
    </row>
    <row r="33">
      <c r="A33" s="150" t="n"/>
      <c r="B33" s="159" t="n">
        <v>2033</v>
      </c>
      <c r="C33" s="160" t="n">
        <v>20.86</v>
      </c>
      <c r="D33" s="161" t="n">
        <v>12.5</v>
      </c>
      <c r="E33" s="162" t="n">
        <v>10.56</v>
      </c>
      <c r="F33" s="160" t="n">
        <v>22.18</v>
      </c>
      <c r="G33" s="161" t="n">
        <v>13.05</v>
      </c>
      <c r="H33" s="162" t="n">
        <v>11.74</v>
      </c>
      <c r="I33" s="160" t="n">
        <v>23.55</v>
      </c>
      <c r="J33" s="161" t="n">
        <v>14.26</v>
      </c>
      <c r="K33" s="162" t="n">
        <v>13.43</v>
      </c>
      <c r="L33" s="146" t="n"/>
      <c r="M33" s="160" t="n">
        <v>4.25</v>
      </c>
      <c r="N33" s="161" t="n">
        <v>2.37</v>
      </c>
      <c r="O33" s="162" t="n">
        <v>1.49</v>
      </c>
      <c r="P33" s="160" t="n">
        <v>5.57</v>
      </c>
      <c r="Q33" s="161" t="n">
        <v>3.71</v>
      </c>
      <c r="R33" s="162" t="n">
        <v>2.85</v>
      </c>
      <c r="S33" s="160" t="n">
        <v>8.84</v>
      </c>
      <c r="T33" s="161" t="n">
        <v>6.88</v>
      </c>
      <c r="U33" s="162" t="n">
        <v>6.04</v>
      </c>
      <c r="V33" s="146" t="n"/>
      <c r="W33" s="160" t="n">
        <v>8.17</v>
      </c>
      <c r="X33" s="161" t="n">
        <v>2.94</v>
      </c>
      <c r="Y33" s="162" t="n">
        <v>2.19</v>
      </c>
      <c r="Z33" s="160" t="n">
        <v>9</v>
      </c>
      <c r="AA33" s="161" t="n">
        <v>3.58</v>
      </c>
      <c r="AB33" s="162" t="n">
        <v>2.83</v>
      </c>
      <c r="AC33" s="160" t="n">
        <v>10.19</v>
      </c>
      <c r="AD33" s="161" t="n">
        <v>4.48</v>
      </c>
      <c r="AE33" s="162" t="n">
        <v>3.74</v>
      </c>
      <c r="AF33" s="146" t="n"/>
      <c r="AG33" s="160" t="n">
        <v>27.7</v>
      </c>
      <c r="AH33" s="161" t="n">
        <v>43.7</v>
      </c>
      <c r="AI33" s="162" t="n">
        <v>33.8</v>
      </c>
      <c r="AJ33" s="160" t="n">
        <v>49.2</v>
      </c>
      <c r="AK33" s="161" t="n">
        <v>64.59999999999999</v>
      </c>
      <c r="AL33" s="162" t="n">
        <v>54.7</v>
      </c>
      <c r="AM33" s="160" t="n">
        <v>97.3</v>
      </c>
      <c r="AN33" s="161" t="n">
        <v>111.4</v>
      </c>
      <c r="AO33" s="162" t="n">
        <v>101.4</v>
      </c>
      <c r="AP33" s="146" t="n"/>
      <c r="AQ33" s="160" t="n">
        <v>113.3</v>
      </c>
      <c r="AR33" s="162" t="n">
        <v>114</v>
      </c>
      <c r="AS33" s="160" t="n">
        <v>139.1</v>
      </c>
      <c r="AT33" s="162" t="n">
        <v>140.2</v>
      </c>
      <c r="AU33" s="160" t="n">
        <v>197.1</v>
      </c>
      <c r="AV33" s="162" t="n">
        <v>199.1</v>
      </c>
      <c r="AW33" s="147" t="n"/>
    </row>
    <row r="34">
      <c r="A34" s="150" t="n"/>
      <c r="B34" s="159" t="n">
        <v>2034</v>
      </c>
      <c r="C34" s="160" t="n">
        <v>20.43</v>
      </c>
      <c r="D34" s="161" t="n">
        <v>12.1</v>
      </c>
      <c r="E34" s="162" t="n">
        <v>10.26</v>
      </c>
      <c r="F34" s="160" t="n">
        <v>21.72</v>
      </c>
      <c r="G34" s="161" t="n">
        <v>12.64</v>
      </c>
      <c r="H34" s="162" t="n">
        <v>11.4</v>
      </c>
      <c r="I34" s="160" t="n">
        <v>23.06</v>
      </c>
      <c r="J34" s="161" t="n">
        <v>13.78</v>
      </c>
      <c r="K34" s="162" t="n">
        <v>13.04</v>
      </c>
      <c r="L34" s="146" t="n"/>
      <c r="M34" s="160" t="n">
        <v>4.19</v>
      </c>
      <c r="N34" s="161" t="n">
        <v>2.32</v>
      </c>
      <c r="O34" s="162" t="n">
        <v>1.44</v>
      </c>
      <c r="P34" s="160" t="n">
        <v>5.56</v>
      </c>
      <c r="Q34" s="161" t="n">
        <v>3.72</v>
      </c>
      <c r="R34" s="162" t="n">
        <v>2.85</v>
      </c>
      <c r="S34" s="160" t="n">
        <v>8.800000000000001</v>
      </c>
      <c r="T34" s="161" t="n">
        <v>6.86</v>
      </c>
      <c r="U34" s="162" t="n">
        <v>6.02</v>
      </c>
      <c r="V34" s="146" t="n"/>
      <c r="W34" s="160" t="n">
        <v>8.09</v>
      </c>
      <c r="X34" s="161" t="n">
        <v>2.89</v>
      </c>
      <c r="Y34" s="162" t="n">
        <v>2.14</v>
      </c>
      <c r="Z34" s="160" t="n">
        <v>8.92</v>
      </c>
      <c r="AA34" s="161" t="n">
        <v>3.52</v>
      </c>
      <c r="AB34" s="162" t="n">
        <v>2.77</v>
      </c>
      <c r="AC34" s="160" t="n">
        <v>9.98</v>
      </c>
      <c r="AD34" s="161" t="n">
        <v>4.33</v>
      </c>
      <c r="AE34" s="162" t="n">
        <v>3.58</v>
      </c>
      <c r="AF34" s="146" t="n"/>
      <c r="AG34" s="160" t="n">
        <v>27.7</v>
      </c>
      <c r="AH34" s="161" t="n">
        <v>43.7</v>
      </c>
      <c r="AI34" s="162" t="n">
        <v>33.8</v>
      </c>
      <c r="AJ34" s="160" t="n">
        <v>49.2</v>
      </c>
      <c r="AK34" s="161" t="n">
        <v>64.59999999999999</v>
      </c>
      <c r="AL34" s="162" t="n">
        <v>54.6</v>
      </c>
      <c r="AM34" s="160" t="n">
        <v>97.3</v>
      </c>
      <c r="AN34" s="161" t="n">
        <v>111.3</v>
      </c>
      <c r="AO34" s="162" t="n">
        <v>101.4</v>
      </c>
      <c r="AP34" s="146" t="n"/>
      <c r="AQ34" s="160" t="n">
        <v>113.1</v>
      </c>
      <c r="AR34" s="162" t="n">
        <v>113.8</v>
      </c>
      <c r="AS34" s="160" t="n">
        <v>138.9</v>
      </c>
      <c r="AT34" s="162" t="n">
        <v>140</v>
      </c>
      <c r="AU34" s="160" t="n">
        <v>196.9</v>
      </c>
      <c r="AV34" s="162" t="n">
        <v>198.9</v>
      </c>
      <c r="AW34" s="147" t="n"/>
    </row>
    <row r="35">
      <c r="A35" s="150" t="n"/>
      <c r="B35" s="159" t="n">
        <v>2035</v>
      </c>
      <c r="C35" s="160" t="n">
        <v>20.7</v>
      </c>
      <c r="D35" s="161" t="n">
        <v>12.22</v>
      </c>
      <c r="E35" s="162" t="n">
        <v>10.37</v>
      </c>
      <c r="F35" s="160" t="n">
        <v>22.01</v>
      </c>
      <c r="G35" s="161" t="n">
        <v>12.76</v>
      </c>
      <c r="H35" s="162" t="n">
        <v>11.53</v>
      </c>
      <c r="I35" s="160" t="n">
        <v>23.37</v>
      </c>
      <c r="J35" s="161" t="n">
        <v>13.76</v>
      </c>
      <c r="K35" s="162" t="n">
        <v>13.18</v>
      </c>
      <c r="L35" s="146" t="n"/>
      <c r="M35" s="160" t="n">
        <v>4.13</v>
      </c>
      <c r="N35" s="161" t="n">
        <v>2.28</v>
      </c>
      <c r="O35" s="162" t="n">
        <v>1.39</v>
      </c>
      <c r="P35" s="160" t="n">
        <v>5.55</v>
      </c>
      <c r="Q35" s="161" t="n">
        <v>3.72</v>
      </c>
      <c r="R35" s="162" t="n">
        <v>2.85</v>
      </c>
      <c r="S35" s="160" t="n">
        <v>8.77</v>
      </c>
      <c r="T35" s="161" t="n">
        <v>6.85</v>
      </c>
      <c r="U35" s="162" t="n">
        <v>6</v>
      </c>
      <c r="V35" s="146" t="n"/>
      <c r="W35" s="160" t="n">
        <v>8.029999999999999</v>
      </c>
      <c r="X35" s="161" t="n">
        <v>2.85</v>
      </c>
      <c r="Y35" s="162" t="n">
        <v>2.1</v>
      </c>
      <c r="Z35" s="160" t="n">
        <v>8.85</v>
      </c>
      <c r="AA35" s="161" t="n">
        <v>3.47</v>
      </c>
      <c r="AB35" s="162" t="n">
        <v>2.72</v>
      </c>
      <c r="AC35" s="160" t="n">
        <v>9.76</v>
      </c>
      <c r="AD35" s="161" t="n">
        <v>4.16</v>
      </c>
      <c r="AE35" s="162" t="n">
        <v>3.41</v>
      </c>
      <c r="AF35" s="146" t="n"/>
      <c r="AG35" s="160" t="n">
        <v>27.1</v>
      </c>
      <c r="AH35" s="161" t="n">
        <v>43</v>
      </c>
      <c r="AI35" s="162" t="n">
        <v>33.1</v>
      </c>
      <c r="AJ35" s="160" t="n">
        <v>49.2</v>
      </c>
      <c r="AK35" s="161" t="n">
        <v>64.5</v>
      </c>
      <c r="AL35" s="162" t="n">
        <v>54.6</v>
      </c>
      <c r="AM35" s="160" t="n">
        <v>97.3</v>
      </c>
      <c r="AN35" s="161" t="n">
        <v>111.3</v>
      </c>
      <c r="AO35" s="162" t="n">
        <v>101.4</v>
      </c>
      <c r="AP35" s="146" t="n"/>
      <c r="AQ35" s="160" t="n">
        <v>112.1</v>
      </c>
      <c r="AR35" s="162" t="n">
        <v>112.8</v>
      </c>
      <c r="AS35" s="160" t="n">
        <v>138.7</v>
      </c>
      <c r="AT35" s="162" t="n">
        <v>139.8</v>
      </c>
      <c r="AU35" s="160" t="n">
        <v>196.6</v>
      </c>
      <c r="AV35" s="162" t="n">
        <v>198.7</v>
      </c>
      <c r="AW35" s="147" t="n"/>
    </row>
    <row r="36">
      <c r="A36" s="150" t="n"/>
      <c r="B36" s="159" t="n">
        <v>2036</v>
      </c>
      <c r="C36" s="160" t="n">
        <v>20.26</v>
      </c>
      <c r="D36" s="161" t="n">
        <v>12.22</v>
      </c>
      <c r="E36" s="162" t="n">
        <v>10.39</v>
      </c>
      <c r="F36" s="160" t="n">
        <v>21.54</v>
      </c>
      <c r="G36" s="161" t="n">
        <v>12.77</v>
      </c>
      <c r="H36" s="162" t="n">
        <v>11.55</v>
      </c>
      <c r="I36" s="160" t="n">
        <v>22.87</v>
      </c>
      <c r="J36" s="161" t="n">
        <v>13.76</v>
      </c>
      <c r="K36" s="162" t="n">
        <v>13.21</v>
      </c>
      <c r="L36" s="146" t="n"/>
      <c r="M36" s="160" t="n">
        <v>4.07</v>
      </c>
      <c r="N36" s="161" t="n">
        <v>2.23</v>
      </c>
      <c r="O36" s="162" t="n">
        <v>1.34</v>
      </c>
      <c r="P36" s="160" t="n">
        <v>5.55</v>
      </c>
      <c r="Q36" s="161" t="n">
        <v>3.73</v>
      </c>
      <c r="R36" s="162" t="n">
        <v>2.85</v>
      </c>
      <c r="S36" s="160" t="n">
        <v>8.75</v>
      </c>
      <c r="T36" s="161" t="n">
        <v>6.83</v>
      </c>
      <c r="U36" s="162" t="n">
        <v>5.98</v>
      </c>
      <c r="V36" s="146" t="n"/>
      <c r="W36" s="160" t="n">
        <v>7.96</v>
      </c>
      <c r="X36" s="161" t="n">
        <v>2.8</v>
      </c>
      <c r="Y36" s="162" t="n">
        <v>2.04</v>
      </c>
      <c r="Z36" s="160" t="n">
        <v>8.789999999999999</v>
      </c>
      <c r="AA36" s="161" t="n">
        <v>3.43</v>
      </c>
      <c r="AB36" s="162" t="n">
        <v>2.67</v>
      </c>
      <c r="AC36" s="160" t="n">
        <v>9.539999999999999</v>
      </c>
      <c r="AD36" s="161" t="n">
        <v>4.01</v>
      </c>
      <c r="AE36" s="162" t="n">
        <v>3.25</v>
      </c>
      <c r="AF36" s="146" t="n"/>
      <c r="AG36" s="160" t="n">
        <v>26.4</v>
      </c>
      <c r="AH36" s="161" t="n">
        <v>42.4</v>
      </c>
      <c r="AI36" s="162" t="n">
        <v>32.5</v>
      </c>
      <c r="AJ36" s="160" t="n">
        <v>49.2</v>
      </c>
      <c r="AK36" s="161" t="n">
        <v>64.5</v>
      </c>
      <c r="AL36" s="162" t="n">
        <v>54.6</v>
      </c>
      <c r="AM36" s="160" t="n">
        <v>97.90000000000001</v>
      </c>
      <c r="AN36" s="161" t="n">
        <v>111.9</v>
      </c>
      <c r="AO36" s="162" t="n">
        <v>102</v>
      </c>
      <c r="AP36" s="146" t="n"/>
      <c r="AQ36" s="160" t="n">
        <v>111.1</v>
      </c>
      <c r="AR36" s="162" t="n">
        <v>111.8</v>
      </c>
      <c r="AS36" s="160" t="n">
        <v>138.5</v>
      </c>
      <c r="AT36" s="162" t="n">
        <v>139.6</v>
      </c>
      <c r="AU36" s="160" t="n">
        <v>197.2</v>
      </c>
      <c r="AV36" s="162" t="n">
        <v>199.2</v>
      </c>
      <c r="AW36" s="147" t="n"/>
    </row>
    <row r="37">
      <c r="A37" s="150" t="n"/>
      <c r="B37" s="159" t="n">
        <v>2037</v>
      </c>
      <c r="C37" s="160" t="n">
        <v>19.92</v>
      </c>
      <c r="D37" s="161" t="n">
        <v>11.79</v>
      </c>
      <c r="E37" s="162" t="n">
        <v>9.970000000000001</v>
      </c>
      <c r="F37" s="160" t="n">
        <v>21.17</v>
      </c>
      <c r="G37" s="161" t="n">
        <v>12.32</v>
      </c>
      <c r="H37" s="162" t="n">
        <v>11.08</v>
      </c>
      <c r="I37" s="160" t="n">
        <v>22.48</v>
      </c>
      <c r="J37" s="161" t="n">
        <v>13.27</v>
      </c>
      <c r="K37" s="162" t="n">
        <v>12.68</v>
      </c>
      <c r="L37" s="146" t="n"/>
      <c r="M37" s="160" t="n">
        <v>4.01</v>
      </c>
      <c r="N37" s="161" t="n">
        <v>2.19</v>
      </c>
      <c r="O37" s="162" t="n">
        <v>1.3</v>
      </c>
      <c r="P37" s="160" t="n">
        <v>5.54</v>
      </c>
      <c r="Q37" s="161" t="n">
        <v>3.73</v>
      </c>
      <c r="R37" s="162" t="n">
        <v>2.85</v>
      </c>
      <c r="S37" s="160" t="n">
        <v>8.720000000000001</v>
      </c>
      <c r="T37" s="161" t="n">
        <v>6.81</v>
      </c>
      <c r="U37" s="162" t="n">
        <v>5.96</v>
      </c>
      <c r="V37" s="146" t="n"/>
      <c r="W37" s="160" t="n">
        <v>7.9</v>
      </c>
      <c r="X37" s="161" t="n">
        <v>2.76</v>
      </c>
      <c r="Y37" s="162" t="n">
        <v>2</v>
      </c>
      <c r="Z37" s="160" t="n">
        <v>8.710000000000001</v>
      </c>
      <c r="AA37" s="161" t="n">
        <v>3.38</v>
      </c>
      <c r="AB37" s="162" t="n">
        <v>2.62</v>
      </c>
      <c r="AC37" s="160" t="n">
        <v>9.32</v>
      </c>
      <c r="AD37" s="161" t="n">
        <v>3.84</v>
      </c>
      <c r="AE37" s="162" t="n">
        <v>3.08</v>
      </c>
      <c r="AF37" s="146" t="n"/>
      <c r="AG37" s="160" t="n">
        <v>25.8</v>
      </c>
      <c r="AH37" s="161" t="n">
        <v>41.7</v>
      </c>
      <c r="AI37" s="162" t="n">
        <v>31.8</v>
      </c>
      <c r="AJ37" s="160" t="n">
        <v>49.2</v>
      </c>
      <c r="AK37" s="161" t="n">
        <v>64.5</v>
      </c>
      <c r="AL37" s="162" t="n">
        <v>54.6</v>
      </c>
      <c r="AM37" s="160" t="n">
        <v>97.90000000000001</v>
      </c>
      <c r="AN37" s="161" t="n">
        <v>111.9</v>
      </c>
      <c r="AO37" s="162" t="n">
        <v>102</v>
      </c>
      <c r="AP37" s="146" t="n"/>
      <c r="AQ37" s="160" t="n">
        <v>110.1</v>
      </c>
      <c r="AR37" s="162" t="n">
        <v>110.8</v>
      </c>
      <c r="AS37" s="160" t="n">
        <v>138.3</v>
      </c>
      <c r="AT37" s="162" t="n">
        <v>139.4</v>
      </c>
      <c r="AU37" s="160" t="n">
        <v>197</v>
      </c>
      <c r="AV37" s="162" t="n">
        <v>199</v>
      </c>
      <c r="AW37" s="147" t="n"/>
    </row>
    <row r="38">
      <c r="A38" s="150" t="n"/>
      <c r="B38" s="159" t="n">
        <v>2038</v>
      </c>
      <c r="C38" s="160" t="n">
        <v>19.99</v>
      </c>
      <c r="D38" s="161" t="n">
        <v>11.88</v>
      </c>
      <c r="E38" s="162" t="n">
        <v>10.03</v>
      </c>
      <c r="F38" s="160" t="n">
        <v>21.25</v>
      </c>
      <c r="G38" s="161" t="n">
        <v>12.41</v>
      </c>
      <c r="H38" s="162" t="n">
        <v>11.15</v>
      </c>
      <c r="I38" s="160" t="n">
        <v>22.56</v>
      </c>
      <c r="J38" s="161" t="n">
        <v>13.38</v>
      </c>
      <c r="K38" s="162" t="n">
        <v>12.76</v>
      </c>
      <c r="L38" s="146" t="n"/>
      <c r="M38" s="160" t="n">
        <v>3.95</v>
      </c>
      <c r="N38" s="161" t="n">
        <v>2.14</v>
      </c>
      <c r="O38" s="162" t="n">
        <v>1.25</v>
      </c>
      <c r="P38" s="160" t="n">
        <v>5.53</v>
      </c>
      <c r="Q38" s="161" t="n">
        <v>3.74</v>
      </c>
      <c r="R38" s="162" t="n">
        <v>2.86</v>
      </c>
      <c r="S38" s="160" t="n">
        <v>8.69</v>
      </c>
      <c r="T38" s="161" t="n">
        <v>6.8</v>
      </c>
      <c r="U38" s="162" t="n">
        <v>5.94</v>
      </c>
      <c r="V38" s="146" t="n"/>
      <c r="W38" s="160" t="n">
        <v>7.84</v>
      </c>
      <c r="X38" s="161" t="n">
        <v>2.72</v>
      </c>
      <c r="Y38" s="162" t="n">
        <v>1.95</v>
      </c>
      <c r="Z38" s="160" t="n">
        <v>8.65</v>
      </c>
      <c r="AA38" s="161" t="n">
        <v>3.34</v>
      </c>
      <c r="AB38" s="162" t="n">
        <v>2.57</v>
      </c>
      <c r="AC38" s="160" t="n">
        <v>9.109999999999999</v>
      </c>
      <c r="AD38" s="161" t="n">
        <v>3.69</v>
      </c>
      <c r="AE38" s="162" t="n">
        <v>2.92</v>
      </c>
      <c r="AF38" s="146" t="n"/>
      <c r="AG38" s="160" t="n">
        <v>25.8</v>
      </c>
      <c r="AH38" s="161" t="n">
        <v>41.7</v>
      </c>
      <c r="AI38" s="162" t="n">
        <v>31.8</v>
      </c>
      <c r="AJ38" s="160" t="n">
        <v>49.2</v>
      </c>
      <c r="AK38" s="161" t="n">
        <v>64.40000000000001</v>
      </c>
      <c r="AL38" s="162" t="n">
        <v>54.5</v>
      </c>
      <c r="AM38" s="160" t="n">
        <v>97.90000000000001</v>
      </c>
      <c r="AN38" s="161" t="n">
        <v>111.8</v>
      </c>
      <c r="AO38" s="162" t="n">
        <v>101.9</v>
      </c>
      <c r="AP38" s="146" t="n"/>
      <c r="AQ38" s="160" t="n">
        <v>109.9</v>
      </c>
      <c r="AR38" s="162" t="n">
        <v>110.6</v>
      </c>
      <c r="AS38" s="160" t="n">
        <v>138.1</v>
      </c>
      <c r="AT38" s="162" t="n">
        <v>139.2</v>
      </c>
      <c r="AU38" s="160" t="n">
        <v>196.8</v>
      </c>
      <c r="AV38" s="162" t="n">
        <v>198.8</v>
      </c>
      <c r="AW38" s="147" t="n"/>
    </row>
    <row r="39">
      <c r="A39" s="150" t="n"/>
      <c r="B39" s="159" t="n">
        <v>2039</v>
      </c>
      <c r="C39" s="160" t="n">
        <v>20.12</v>
      </c>
      <c r="D39" s="161" t="n">
        <v>12</v>
      </c>
      <c r="E39" s="162" t="n">
        <v>10.05</v>
      </c>
      <c r="F39" s="160" t="n">
        <v>21.4</v>
      </c>
      <c r="G39" s="161" t="n">
        <v>12.54</v>
      </c>
      <c r="H39" s="162" t="n">
        <v>11.18</v>
      </c>
      <c r="I39" s="160" t="n">
        <v>22.72</v>
      </c>
      <c r="J39" s="161" t="n">
        <v>13.51</v>
      </c>
      <c r="K39" s="162" t="n">
        <v>12.78</v>
      </c>
      <c r="L39" s="146" t="n"/>
      <c r="M39" s="160" t="n">
        <v>3.89</v>
      </c>
      <c r="N39" s="161" t="n">
        <v>2.1</v>
      </c>
      <c r="O39" s="162" t="n">
        <v>1.2</v>
      </c>
      <c r="P39" s="160" t="n">
        <v>5.53</v>
      </c>
      <c r="Q39" s="161" t="n">
        <v>3.74</v>
      </c>
      <c r="R39" s="162" t="n">
        <v>2.86</v>
      </c>
      <c r="S39" s="160" t="n">
        <v>8.66</v>
      </c>
      <c r="T39" s="161" t="n">
        <v>6.78</v>
      </c>
      <c r="U39" s="162" t="n">
        <v>5.92</v>
      </c>
      <c r="V39" s="146" t="n"/>
      <c r="W39" s="160" t="n">
        <v>7.76</v>
      </c>
      <c r="X39" s="161" t="n">
        <v>2.67</v>
      </c>
      <c r="Y39" s="162" t="n">
        <v>1.9</v>
      </c>
      <c r="Z39" s="160" t="n">
        <v>8.58</v>
      </c>
      <c r="AA39" s="161" t="n">
        <v>3.29</v>
      </c>
      <c r="AB39" s="162" t="n">
        <v>2.52</v>
      </c>
      <c r="AC39" s="160" t="n">
        <v>8.880000000000001</v>
      </c>
      <c r="AD39" s="161" t="n">
        <v>3.52</v>
      </c>
      <c r="AE39" s="162" t="n">
        <v>2.75</v>
      </c>
      <c r="AF39" s="146" t="n"/>
      <c r="AG39" s="160" t="n">
        <v>25.1</v>
      </c>
      <c r="AH39" s="161" t="n">
        <v>41</v>
      </c>
      <c r="AI39" s="162" t="n">
        <v>31.1</v>
      </c>
      <c r="AJ39" s="160" t="n">
        <v>49.2</v>
      </c>
      <c r="AK39" s="161" t="n">
        <v>64.40000000000001</v>
      </c>
      <c r="AL39" s="162" t="n">
        <v>54.5</v>
      </c>
      <c r="AM39" s="160" t="n">
        <v>98.59999999999999</v>
      </c>
      <c r="AN39" s="161" t="n">
        <v>112.4</v>
      </c>
      <c r="AO39" s="162" t="n">
        <v>102.5</v>
      </c>
      <c r="AP39" s="146" t="n"/>
      <c r="AQ39" s="160" t="n">
        <v>108.9</v>
      </c>
      <c r="AR39" s="162" t="n">
        <v>109.6</v>
      </c>
      <c r="AS39" s="160" t="n">
        <v>137.9</v>
      </c>
      <c r="AT39" s="162" t="n">
        <v>139</v>
      </c>
      <c r="AU39" s="160" t="n">
        <v>197.4</v>
      </c>
      <c r="AV39" s="162" t="n">
        <v>199.4</v>
      </c>
      <c r="AW39" s="147" t="n"/>
    </row>
    <row r="40">
      <c r="A40" s="150" t="n"/>
      <c r="B40" s="159" t="n">
        <v>2040</v>
      </c>
      <c r="C40" s="160" t="n">
        <v>19.9</v>
      </c>
      <c r="D40" s="161" t="n">
        <v>11.96</v>
      </c>
      <c r="E40" s="162" t="n">
        <v>10.01</v>
      </c>
      <c r="F40" s="160" t="n">
        <v>21.15</v>
      </c>
      <c r="G40" s="161" t="n">
        <v>12.49</v>
      </c>
      <c r="H40" s="162" t="n">
        <v>11.12</v>
      </c>
      <c r="I40" s="160" t="n">
        <v>22.46</v>
      </c>
      <c r="J40" s="161" t="n">
        <v>13.46</v>
      </c>
      <c r="K40" s="162" t="n">
        <v>12.72</v>
      </c>
      <c r="L40" s="146" t="n"/>
      <c r="M40" s="160" t="n">
        <v>3.83</v>
      </c>
      <c r="N40" s="161" t="n">
        <v>2.05</v>
      </c>
      <c r="O40" s="162" t="n">
        <v>1.15</v>
      </c>
      <c r="P40" s="160" t="n">
        <v>5.52</v>
      </c>
      <c r="Q40" s="161" t="n">
        <v>3.75</v>
      </c>
      <c r="R40" s="162" t="n">
        <v>2.86</v>
      </c>
      <c r="S40" s="160" t="n">
        <v>8.619999999999999</v>
      </c>
      <c r="T40" s="161" t="n">
        <v>6.76</v>
      </c>
      <c r="U40" s="162" t="n">
        <v>5.9</v>
      </c>
      <c r="V40" s="146" t="n"/>
      <c r="W40" s="160" t="n">
        <v>7.7</v>
      </c>
      <c r="X40" s="161" t="n">
        <v>2.63</v>
      </c>
      <c r="Y40" s="162" t="n">
        <v>1.85</v>
      </c>
      <c r="Z40" s="160" t="n">
        <v>8.52</v>
      </c>
      <c r="AA40" s="161" t="n">
        <v>3.25</v>
      </c>
      <c r="AB40" s="162" t="n">
        <v>2.47</v>
      </c>
      <c r="AC40" s="160" t="n">
        <v>8.67</v>
      </c>
      <c r="AD40" s="161" t="n">
        <v>3.37</v>
      </c>
      <c r="AE40" s="162" t="n">
        <v>2.59</v>
      </c>
      <c r="AF40" s="146" t="n"/>
      <c r="AG40" s="160" t="n">
        <v>24.5</v>
      </c>
      <c r="AH40" s="161" t="n">
        <v>40.4</v>
      </c>
      <c r="AI40" s="162" t="n">
        <v>30.5</v>
      </c>
      <c r="AJ40" s="160" t="n">
        <v>49.2</v>
      </c>
      <c r="AK40" s="161" t="n">
        <v>64.40000000000001</v>
      </c>
      <c r="AL40" s="162" t="n">
        <v>54.5</v>
      </c>
      <c r="AM40" s="160" t="n">
        <v>98.59999999999999</v>
      </c>
      <c r="AN40" s="161" t="n">
        <v>112.4</v>
      </c>
      <c r="AO40" s="162" t="n">
        <v>102.5</v>
      </c>
      <c r="AP40" s="146" t="n"/>
      <c r="AQ40" s="160" t="n">
        <v>107.9</v>
      </c>
      <c r="AR40" s="162" t="n">
        <v>108.6</v>
      </c>
      <c r="AS40" s="160" t="n">
        <v>137.7</v>
      </c>
      <c r="AT40" s="162" t="n">
        <v>138.8</v>
      </c>
      <c r="AU40" s="160" t="n">
        <v>197.2</v>
      </c>
      <c r="AV40" s="162" t="n">
        <v>199.2</v>
      </c>
      <c r="AW40" s="147" t="n"/>
    </row>
    <row r="41">
      <c r="A41" s="150" t="n"/>
      <c r="B41" s="159" t="n">
        <v>2041</v>
      </c>
      <c r="C41" s="160" t="n">
        <v>20.04</v>
      </c>
      <c r="D41" s="161" t="n">
        <v>11.99</v>
      </c>
      <c r="E41" s="162" t="n">
        <v>10.05</v>
      </c>
      <c r="F41" s="160" t="n">
        <v>21.3</v>
      </c>
      <c r="G41" s="161" t="n">
        <v>12.53</v>
      </c>
      <c r="H41" s="162" t="n">
        <v>11.18</v>
      </c>
      <c r="I41" s="160" t="n">
        <v>22.62</v>
      </c>
      <c r="J41" s="161" t="n">
        <v>13.5</v>
      </c>
      <c r="K41" s="162" t="n">
        <v>12.78</v>
      </c>
      <c r="L41" s="146" t="n"/>
      <c r="M41" s="160" t="n">
        <v>3.78</v>
      </c>
      <c r="N41" s="161" t="n">
        <v>2.06</v>
      </c>
      <c r="O41" s="162" t="n">
        <v>1.15</v>
      </c>
      <c r="P41" s="160" t="n">
        <v>5.52</v>
      </c>
      <c r="Q41" s="161" t="n">
        <v>3.75</v>
      </c>
      <c r="R41" s="162" t="n">
        <v>2.86</v>
      </c>
      <c r="S41" s="160" t="n">
        <v>8.6</v>
      </c>
      <c r="T41" s="161" t="n">
        <v>6.77</v>
      </c>
      <c r="U41" s="162" t="n">
        <v>5.91</v>
      </c>
      <c r="V41" s="146" t="n"/>
      <c r="W41" s="160" t="n">
        <v>7.63</v>
      </c>
      <c r="X41" s="161" t="n">
        <v>2.57</v>
      </c>
      <c r="Y41" s="162" t="n">
        <v>1.8</v>
      </c>
      <c r="Z41" s="160" t="n">
        <v>8.44</v>
      </c>
      <c r="AA41" s="161" t="n">
        <v>3.19</v>
      </c>
      <c r="AB41" s="162" t="n">
        <v>2.42</v>
      </c>
      <c r="AC41" s="160" t="n">
        <v>8.44</v>
      </c>
      <c r="AD41" s="161" t="n">
        <v>3.19</v>
      </c>
      <c r="AE41" s="162" t="n">
        <v>2.42</v>
      </c>
      <c r="AF41" s="146" t="n"/>
      <c r="AG41" s="160" t="n">
        <v>24.5</v>
      </c>
      <c r="AH41" s="161" t="n">
        <v>40.3</v>
      </c>
      <c r="AI41" s="162" t="n">
        <v>30.4</v>
      </c>
      <c r="AJ41" s="160" t="n">
        <v>49.2</v>
      </c>
      <c r="AK41" s="161" t="n">
        <v>64.3</v>
      </c>
      <c r="AL41" s="162" t="n">
        <v>54.4</v>
      </c>
      <c r="AM41" s="160" t="n">
        <v>98.59999999999999</v>
      </c>
      <c r="AN41" s="161" t="n">
        <v>112.4</v>
      </c>
      <c r="AO41" s="162" t="n">
        <v>102.5</v>
      </c>
      <c r="AP41" s="146" t="n"/>
      <c r="AQ41" s="160" t="n">
        <v>107.8</v>
      </c>
      <c r="AR41" s="162" t="n">
        <v>108.4</v>
      </c>
      <c r="AS41" s="160" t="n">
        <v>137.5</v>
      </c>
      <c r="AT41" s="162" t="n">
        <v>138.6</v>
      </c>
      <c r="AU41" s="160" t="n">
        <v>197</v>
      </c>
      <c r="AV41" s="162" t="n">
        <v>199</v>
      </c>
      <c r="AW41" s="147" t="n"/>
    </row>
    <row r="42">
      <c r="A42" s="150" t="n"/>
      <c r="B42" s="159" t="n">
        <v>2042</v>
      </c>
      <c r="C42" s="160" t="n">
        <v>19.85</v>
      </c>
      <c r="D42" s="161" t="n">
        <v>12.08</v>
      </c>
      <c r="E42" s="162" t="n">
        <v>10.23</v>
      </c>
      <c r="F42" s="160" t="n">
        <v>21.1</v>
      </c>
      <c r="G42" s="161" t="n">
        <v>12.62</v>
      </c>
      <c r="H42" s="162" t="n">
        <v>11.37</v>
      </c>
      <c r="I42" s="160" t="n">
        <v>22.4</v>
      </c>
      <c r="J42" s="161" t="n">
        <v>13.6</v>
      </c>
      <c r="K42" s="162" t="n">
        <v>13.01</v>
      </c>
      <c r="L42" s="146" t="n"/>
      <c r="M42" s="160" t="n">
        <v>3.78</v>
      </c>
      <c r="N42" s="161" t="n">
        <v>2.06</v>
      </c>
      <c r="O42" s="162" t="n">
        <v>1.16</v>
      </c>
      <c r="P42" s="160" t="n">
        <v>5.52</v>
      </c>
      <c r="Q42" s="161" t="n">
        <v>3.76</v>
      </c>
      <c r="R42" s="162" t="n">
        <v>2.87</v>
      </c>
      <c r="S42" s="160" t="n">
        <v>8.6</v>
      </c>
      <c r="T42" s="161" t="n">
        <v>6.77</v>
      </c>
      <c r="U42" s="162" t="n">
        <v>5.91</v>
      </c>
      <c r="V42" s="146" t="n"/>
      <c r="W42" s="160" t="n">
        <v>7.63</v>
      </c>
      <c r="X42" s="161" t="n">
        <v>2.57</v>
      </c>
      <c r="Y42" s="162" t="n">
        <v>1.79</v>
      </c>
      <c r="Z42" s="160" t="n">
        <v>8.44</v>
      </c>
      <c r="AA42" s="161" t="n">
        <v>3.19</v>
      </c>
      <c r="AB42" s="162" t="n">
        <v>2.42</v>
      </c>
      <c r="AC42" s="160" t="n">
        <v>8.44</v>
      </c>
      <c r="AD42" s="161" t="n">
        <v>3.19</v>
      </c>
      <c r="AE42" s="162" t="n">
        <v>2.42</v>
      </c>
      <c r="AF42" s="146" t="n"/>
      <c r="AG42" s="160" t="n">
        <v>24.5</v>
      </c>
      <c r="AH42" s="161" t="n">
        <v>40.3</v>
      </c>
      <c r="AI42" s="162" t="n">
        <v>30.4</v>
      </c>
      <c r="AJ42" s="160" t="n">
        <v>49.2</v>
      </c>
      <c r="AK42" s="161" t="n">
        <v>64.3</v>
      </c>
      <c r="AL42" s="162" t="n">
        <v>54.4</v>
      </c>
      <c r="AM42" s="160" t="n">
        <v>98.59999999999999</v>
      </c>
      <c r="AN42" s="161" t="n">
        <v>112.4</v>
      </c>
      <c r="AO42" s="162" t="n">
        <v>102.4</v>
      </c>
      <c r="AP42" s="146" t="n"/>
      <c r="AQ42" s="160" t="n">
        <v>107.6</v>
      </c>
      <c r="AR42" s="162" t="n">
        <v>108.2</v>
      </c>
      <c r="AS42" s="160" t="n">
        <v>137.3</v>
      </c>
      <c r="AT42" s="162" t="n">
        <v>138.4</v>
      </c>
      <c r="AU42" s="160" t="n">
        <v>196.8</v>
      </c>
      <c r="AV42" s="162" t="n">
        <v>198.8</v>
      </c>
      <c r="AW42" s="147" t="n"/>
    </row>
    <row r="43">
      <c r="A43" s="150" t="n"/>
      <c r="B43" s="159" t="n">
        <v>2043</v>
      </c>
      <c r="C43" s="160" t="n">
        <v>19.68</v>
      </c>
      <c r="D43" s="161" t="n">
        <v>11.9</v>
      </c>
      <c r="E43" s="162" t="n">
        <v>10.11</v>
      </c>
      <c r="F43" s="160" t="n">
        <v>20.93</v>
      </c>
      <c r="G43" s="161" t="n">
        <v>12.43</v>
      </c>
      <c r="H43" s="162" t="n">
        <v>11.24</v>
      </c>
      <c r="I43" s="160" t="n">
        <v>22.22</v>
      </c>
      <c r="J43" s="161" t="n">
        <v>13.4</v>
      </c>
      <c r="K43" s="162" t="n">
        <v>12.85</v>
      </c>
      <c r="L43" s="146" t="n"/>
      <c r="M43" s="160" t="n">
        <v>3.79</v>
      </c>
      <c r="N43" s="161" t="n">
        <v>2.07</v>
      </c>
      <c r="O43" s="162" t="n">
        <v>1.16</v>
      </c>
      <c r="P43" s="160" t="n">
        <v>5.52</v>
      </c>
      <c r="Q43" s="161" t="n">
        <v>3.76</v>
      </c>
      <c r="R43" s="162" t="n">
        <v>2.87</v>
      </c>
      <c r="S43" s="160" t="n">
        <v>8.6</v>
      </c>
      <c r="T43" s="161" t="n">
        <v>6.78</v>
      </c>
      <c r="U43" s="162" t="n">
        <v>5.91</v>
      </c>
      <c r="V43" s="146" t="n"/>
      <c r="W43" s="160" t="n">
        <v>7.63</v>
      </c>
      <c r="X43" s="161" t="n">
        <v>2.57</v>
      </c>
      <c r="Y43" s="162" t="n">
        <v>1.79</v>
      </c>
      <c r="Z43" s="160" t="n">
        <v>8.44</v>
      </c>
      <c r="AA43" s="161" t="n">
        <v>3.19</v>
      </c>
      <c r="AB43" s="162" t="n">
        <v>2.41</v>
      </c>
      <c r="AC43" s="160" t="n">
        <v>8.44</v>
      </c>
      <c r="AD43" s="161" t="n">
        <v>3.19</v>
      </c>
      <c r="AE43" s="162" t="n">
        <v>2.41</v>
      </c>
      <c r="AF43" s="146" t="n"/>
      <c r="AG43" s="160" t="n">
        <v>24.5</v>
      </c>
      <c r="AH43" s="161" t="n">
        <v>40.3</v>
      </c>
      <c r="AI43" s="162" t="n">
        <v>30.4</v>
      </c>
      <c r="AJ43" s="160" t="n">
        <v>49.2</v>
      </c>
      <c r="AK43" s="161" t="n">
        <v>64.3</v>
      </c>
      <c r="AL43" s="162" t="n">
        <v>54.4</v>
      </c>
      <c r="AM43" s="160" t="n">
        <v>98.59999999999999</v>
      </c>
      <c r="AN43" s="161" t="n">
        <v>112.3</v>
      </c>
      <c r="AO43" s="162" t="n">
        <v>102.4</v>
      </c>
      <c r="AP43" s="146" t="n"/>
      <c r="AQ43" s="160" t="n">
        <v>107.4</v>
      </c>
      <c r="AR43" s="162" t="n">
        <v>108</v>
      </c>
      <c r="AS43" s="160" t="n">
        <v>137.1</v>
      </c>
      <c r="AT43" s="162" t="n">
        <v>138.2</v>
      </c>
      <c r="AU43" s="160" t="n">
        <v>196.6</v>
      </c>
      <c r="AV43" s="162" t="n">
        <v>198.6</v>
      </c>
      <c r="AW43" s="147" t="n"/>
    </row>
    <row r="44">
      <c r="A44" s="150" t="n"/>
      <c r="B44" s="159" t="n">
        <v>2044</v>
      </c>
      <c r="C44" s="160" t="n">
        <v>19.61</v>
      </c>
      <c r="D44" s="161" t="n">
        <v>11.88</v>
      </c>
      <c r="E44" s="162" t="n">
        <v>10.15</v>
      </c>
      <c r="F44" s="160" t="n">
        <v>20.85</v>
      </c>
      <c r="G44" s="161" t="n">
        <v>12.41</v>
      </c>
      <c r="H44" s="162" t="n">
        <v>11.29</v>
      </c>
      <c r="I44" s="160" t="n">
        <v>22.13</v>
      </c>
      <c r="J44" s="161" t="n">
        <v>13.37</v>
      </c>
      <c r="K44" s="162" t="n">
        <v>12.91</v>
      </c>
      <c r="L44" s="146" t="n"/>
      <c r="M44" s="160" t="n">
        <v>3.79</v>
      </c>
      <c r="N44" s="161" t="n">
        <v>2.07</v>
      </c>
      <c r="O44" s="162" t="n">
        <v>1.16</v>
      </c>
      <c r="P44" s="160" t="n">
        <v>5.52</v>
      </c>
      <c r="Q44" s="161" t="n">
        <v>3.77</v>
      </c>
      <c r="R44" s="162" t="n">
        <v>2.87</v>
      </c>
      <c r="S44" s="160" t="n">
        <v>8.6</v>
      </c>
      <c r="T44" s="161" t="n">
        <v>6.79</v>
      </c>
      <c r="U44" s="162" t="n">
        <v>5.91</v>
      </c>
      <c r="V44" s="146" t="n"/>
      <c r="W44" s="160" t="n">
        <v>7.63</v>
      </c>
      <c r="X44" s="161" t="n">
        <v>2.56</v>
      </c>
      <c r="Y44" s="162" t="n">
        <v>1.79</v>
      </c>
      <c r="Z44" s="160" t="n">
        <v>8.44</v>
      </c>
      <c r="AA44" s="161" t="n">
        <v>3.18</v>
      </c>
      <c r="AB44" s="162" t="n">
        <v>2.41</v>
      </c>
      <c r="AC44" s="160" t="n">
        <v>8.44</v>
      </c>
      <c r="AD44" s="161" t="n">
        <v>3.18</v>
      </c>
      <c r="AE44" s="162" t="n">
        <v>2.41</v>
      </c>
      <c r="AF44" s="146" t="n"/>
      <c r="AG44" s="160" t="n">
        <v>24.5</v>
      </c>
      <c r="AH44" s="161" t="n">
        <v>40.2</v>
      </c>
      <c r="AI44" s="162" t="n">
        <v>30.3</v>
      </c>
      <c r="AJ44" s="160" t="n">
        <v>49.2</v>
      </c>
      <c r="AK44" s="161" t="n">
        <v>64.3</v>
      </c>
      <c r="AL44" s="162" t="n">
        <v>54.4</v>
      </c>
      <c r="AM44" s="160" t="n">
        <v>98.59999999999999</v>
      </c>
      <c r="AN44" s="161" t="n">
        <v>112.3</v>
      </c>
      <c r="AO44" s="162" t="n">
        <v>102.4</v>
      </c>
      <c r="AP44" s="146" t="n"/>
      <c r="AQ44" s="160" t="n">
        <v>107.2</v>
      </c>
      <c r="AR44" s="162" t="n">
        <v>107.8</v>
      </c>
      <c r="AS44" s="160" t="n">
        <v>136.9</v>
      </c>
      <c r="AT44" s="162" t="n">
        <v>138</v>
      </c>
      <c r="AU44" s="160" t="n">
        <v>196.4</v>
      </c>
      <c r="AV44" s="162" t="n">
        <v>198.5</v>
      </c>
      <c r="AW44" s="147" t="n"/>
    </row>
    <row r="45">
      <c r="A45" s="150" t="n"/>
      <c r="B45" s="159" t="n">
        <v>2045</v>
      </c>
      <c r="C45" s="160" t="n">
        <v>19.4</v>
      </c>
      <c r="D45" s="161" t="n">
        <v>11.76</v>
      </c>
      <c r="E45" s="162" t="n">
        <v>10.08</v>
      </c>
      <c r="F45" s="160" t="n">
        <v>20.63</v>
      </c>
      <c r="G45" s="161" t="n">
        <v>12.28</v>
      </c>
      <c r="H45" s="162" t="n">
        <v>11.21</v>
      </c>
      <c r="I45" s="160" t="n">
        <v>21.9</v>
      </c>
      <c r="J45" s="161" t="n">
        <v>13.23</v>
      </c>
      <c r="K45" s="162" t="n">
        <v>12.82</v>
      </c>
      <c r="L45" s="146" t="n"/>
      <c r="M45" s="160" t="n">
        <v>3.79</v>
      </c>
      <c r="N45" s="161" t="n">
        <v>2.08</v>
      </c>
      <c r="O45" s="162" t="n">
        <v>1.16</v>
      </c>
      <c r="P45" s="160" t="n">
        <v>5.52</v>
      </c>
      <c r="Q45" s="161" t="n">
        <v>3.78</v>
      </c>
      <c r="R45" s="162" t="n">
        <v>2.87</v>
      </c>
      <c r="S45" s="160" t="n">
        <v>8.6</v>
      </c>
      <c r="T45" s="161" t="n">
        <v>6.79</v>
      </c>
      <c r="U45" s="162" t="n">
        <v>5.92</v>
      </c>
      <c r="V45" s="146" t="n"/>
      <c r="W45" s="160" t="n">
        <v>7.63</v>
      </c>
      <c r="X45" s="161" t="n">
        <v>2.56</v>
      </c>
      <c r="Y45" s="162" t="n">
        <v>1.79</v>
      </c>
      <c r="Z45" s="160" t="n">
        <v>8.44</v>
      </c>
      <c r="AA45" s="161" t="n">
        <v>3.18</v>
      </c>
      <c r="AB45" s="162" t="n">
        <v>2.41</v>
      </c>
      <c r="AC45" s="160" t="n">
        <v>8.44</v>
      </c>
      <c r="AD45" s="161" t="n">
        <v>3.18</v>
      </c>
      <c r="AE45" s="162" t="n">
        <v>2.41</v>
      </c>
      <c r="AF45" s="146" t="n"/>
      <c r="AG45" s="160" t="n">
        <v>24.5</v>
      </c>
      <c r="AH45" s="161" t="n">
        <v>40.2</v>
      </c>
      <c r="AI45" s="162" t="n">
        <v>30.3</v>
      </c>
      <c r="AJ45" s="160" t="n">
        <v>49.2</v>
      </c>
      <c r="AK45" s="161" t="n">
        <v>64.2</v>
      </c>
      <c r="AL45" s="162" t="n">
        <v>54.3</v>
      </c>
      <c r="AM45" s="160" t="n">
        <v>98.59999999999999</v>
      </c>
      <c r="AN45" s="161" t="n">
        <v>112.3</v>
      </c>
      <c r="AO45" s="162" t="n">
        <v>102.4</v>
      </c>
      <c r="AP45" s="146" t="n"/>
      <c r="AQ45" s="160" t="n">
        <v>107</v>
      </c>
      <c r="AR45" s="162" t="n">
        <v>107.6</v>
      </c>
      <c r="AS45" s="160" t="n">
        <v>136.7</v>
      </c>
      <c r="AT45" s="162" t="n">
        <v>137.8</v>
      </c>
      <c r="AU45" s="160" t="n">
        <v>196.2</v>
      </c>
      <c r="AV45" s="162" t="n">
        <v>198.3</v>
      </c>
      <c r="AW45" s="147" t="n"/>
    </row>
    <row r="46">
      <c r="A46" s="150" t="n"/>
      <c r="B46" s="159" t="n">
        <v>2046</v>
      </c>
      <c r="C46" s="160" t="n">
        <v>19.03</v>
      </c>
      <c r="D46" s="161" t="n">
        <v>11.54</v>
      </c>
      <c r="E46" s="162" t="n">
        <v>9.960000000000001</v>
      </c>
      <c r="F46" s="160" t="n">
        <v>20.24</v>
      </c>
      <c r="G46" s="161" t="n">
        <v>12.06</v>
      </c>
      <c r="H46" s="162" t="n">
        <v>11.07</v>
      </c>
      <c r="I46" s="160" t="n">
        <v>21.48</v>
      </c>
      <c r="J46" s="161" t="n">
        <v>12.99</v>
      </c>
      <c r="K46" s="162" t="n">
        <v>12.67</v>
      </c>
      <c r="L46" s="146" t="n"/>
      <c r="M46" s="160" t="n">
        <v>3.79</v>
      </c>
      <c r="N46" s="161" t="n">
        <v>2.09</v>
      </c>
      <c r="O46" s="162" t="n">
        <v>1.17</v>
      </c>
      <c r="P46" s="160" t="n">
        <v>5.52</v>
      </c>
      <c r="Q46" s="161" t="n">
        <v>3.78</v>
      </c>
      <c r="R46" s="162" t="n">
        <v>2.88</v>
      </c>
      <c r="S46" s="160" t="n">
        <v>8.6</v>
      </c>
      <c r="T46" s="161" t="n">
        <v>6.8</v>
      </c>
      <c r="U46" s="162" t="n">
        <v>5.92</v>
      </c>
      <c r="V46" s="146" t="n"/>
      <c r="W46" s="160" t="n">
        <v>7.63</v>
      </c>
      <c r="X46" s="161" t="n">
        <v>2.56</v>
      </c>
      <c r="Y46" s="162" t="n">
        <v>1.79</v>
      </c>
      <c r="Z46" s="160" t="n">
        <v>8.44</v>
      </c>
      <c r="AA46" s="161" t="n">
        <v>3.18</v>
      </c>
      <c r="AB46" s="162" t="n">
        <v>2.41</v>
      </c>
      <c r="AC46" s="160" t="n">
        <v>8.44</v>
      </c>
      <c r="AD46" s="161" t="n">
        <v>3.18</v>
      </c>
      <c r="AE46" s="162" t="n">
        <v>2.41</v>
      </c>
      <c r="AF46" s="146" t="n"/>
      <c r="AG46" s="160" t="n">
        <v>24.5</v>
      </c>
      <c r="AH46" s="161" t="n">
        <v>40.2</v>
      </c>
      <c r="AI46" s="162" t="n">
        <v>30.3</v>
      </c>
      <c r="AJ46" s="160" t="n">
        <v>49.2</v>
      </c>
      <c r="AK46" s="161" t="n">
        <v>64.2</v>
      </c>
      <c r="AL46" s="162" t="n">
        <v>54.3</v>
      </c>
      <c r="AM46" s="160" t="n">
        <v>98.59999999999999</v>
      </c>
      <c r="AN46" s="161" t="n">
        <v>112.2</v>
      </c>
      <c r="AO46" s="162" t="n">
        <v>102.3</v>
      </c>
      <c r="AP46" s="146" t="n"/>
      <c r="AQ46" s="160" t="n">
        <v>106.8</v>
      </c>
      <c r="AR46" s="162" t="n">
        <v>107.4</v>
      </c>
      <c r="AS46" s="160" t="n">
        <v>136.5</v>
      </c>
      <c r="AT46" s="162" t="n">
        <v>137.6</v>
      </c>
      <c r="AU46" s="160" t="n">
        <v>196</v>
      </c>
      <c r="AV46" s="162" t="n">
        <v>198.1</v>
      </c>
      <c r="AW46" s="147" t="n"/>
    </row>
    <row r="47">
      <c r="A47" s="150" t="n"/>
      <c r="B47" s="159" t="n">
        <v>2047</v>
      </c>
      <c r="C47" s="160" t="n">
        <v>19</v>
      </c>
      <c r="D47" s="161" t="n">
        <v>11.45</v>
      </c>
      <c r="E47" s="162" t="n">
        <v>9.92</v>
      </c>
      <c r="F47" s="160" t="n">
        <v>20.2</v>
      </c>
      <c r="G47" s="161" t="n">
        <v>11.96</v>
      </c>
      <c r="H47" s="162" t="n">
        <v>11.03</v>
      </c>
      <c r="I47" s="160" t="n">
        <v>21.45</v>
      </c>
      <c r="J47" s="161" t="n">
        <v>12.89</v>
      </c>
      <c r="K47" s="162" t="n">
        <v>12.62</v>
      </c>
      <c r="L47" s="146" t="n"/>
      <c r="M47" s="160" t="n">
        <v>3.79</v>
      </c>
      <c r="N47" s="161" t="n">
        <v>2.09</v>
      </c>
      <c r="O47" s="162" t="n">
        <v>1.17</v>
      </c>
      <c r="P47" s="160" t="n">
        <v>5.52</v>
      </c>
      <c r="Q47" s="161" t="n">
        <v>3.79</v>
      </c>
      <c r="R47" s="162" t="n">
        <v>2.88</v>
      </c>
      <c r="S47" s="160" t="n">
        <v>8.6</v>
      </c>
      <c r="T47" s="161" t="n">
        <v>6.8</v>
      </c>
      <c r="U47" s="162" t="n">
        <v>5.92</v>
      </c>
      <c r="V47" s="146" t="n"/>
      <c r="W47" s="160" t="n">
        <v>7.63</v>
      </c>
      <c r="X47" s="161" t="n">
        <v>2.55</v>
      </c>
      <c r="Y47" s="162" t="n">
        <v>1.79</v>
      </c>
      <c r="Z47" s="160" t="n">
        <v>8.44</v>
      </c>
      <c r="AA47" s="161" t="n">
        <v>3.18</v>
      </c>
      <c r="AB47" s="162" t="n">
        <v>2.41</v>
      </c>
      <c r="AC47" s="160" t="n">
        <v>8.44</v>
      </c>
      <c r="AD47" s="161" t="n">
        <v>3.18</v>
      </c>
      <c r="AE47" s="162" t="n">
        <v>2.41</v>
      </c>
      <c r="AF47" s="146" t="n"/>
      <c r="AG47" s="160" t="n">
        <v>24.5</v>
      </c>
      <c r="AH47" s="161" t="n">
        <v>40.2</v>
      </c>
      <c r="AI47" s="162" t="n">
        <v>30.3</v>
      </c>
      <c r="AJ47" s="160" t="n">
        <v>49.2</v>
      </c>
      <c r="AK47" s="161" t="n">
        <v>64.2</v>
      </c>
      <c r="AL47" s="162" t="n">
        <v>54.3</v>
      </c>
      <c r="AM47" s="160" t="n">
        <v>98.59999999999999</v>
      </c>
      <c r="AN47" s="161" t="n">
        <v>112.2</v>
      </c>
      <c r="AO47" s="162" t="n">
        <v>102.3</v>
      </c>
      <c r="AP47" s="146" t="n"/>
      <c r="AQ47" s="160" t="n">
        <v>106.6</v>
      </c>
      <c r="AR47" s="162" t="n">
        <v>107.2</v>
      </c>
      <c r="AS47" s="160" t="n">
        <v>136.3</v>
      </c>
      <c r="AT47" s="162" t="n">
        <v>137.4</v>
      </c>
      <c r="AU47" s="160" t="n">
        <v>195.8</v>
      </c>
      <c r="AV47" s="162" t="n">
        <v>197.9</v>
      </c>
      <c r="AW47" s="147" t="n"/>
    </row>
    <row r="48">
      <c r="A48" s="150" t="n"/>
      <c r="B48" s="159" t="n">
        <v>2048</v>
      </c>
      <c r="C48" s="160" t="n">
        <v>18.95</v>
      </c>
      <c r="D48" s="161" t="n">
        <v>11.81</v>
      </c>
      <c r="E48" s="162" t="n">
        <v>10.33</v>
      </c>
      <c r="F48" s="160" t="n">
        <v>20.15</v>
      </c>
      <c r="G48" s="161" t="n">
        <v>12.34</v>
      </c>
      <c r="H48" s="162" t="n">
        <v>11.49</v>
      </c>
      <c r="I48" s="160" t="n">
        <v>21.39</v>
      </c>
      <c r="J48" s="161" t="n">
        <v>13.3</v>
      </c>
      <c r="K48" s="162" t="n">
        <v>13.14</v>
      </c>
      <c r="L48" s="146" t="n"/>
      <c r="M48" s="160" t="n">
        <v>3.79</v>
      </c>
      <c r="N48" s="161" t="n">
        <v>2.1</v>
      </c>
      <c r="O48" s="162" t="n">
        <v>1.17</v>
      </c>
      <c r="P48" s="160" t="n">
        <v>5.52</v>
      </c>
      <c r="Q48" s="161" t="n">
        <v>3.79</v>
      </c>
      <c r="R48" s="162" t="n">
        <v>2.88</v>
      </c>
      <c r="S48" s="160" t="n">
        <v>8.6</v>
      </c>
      <c r="T48" s="161" t="n">
        <v>6.81</v>
      </c>
      <c r="U48" s="162" t="n">
        <v>5.93</v>
      </c>
      <c r="V48" s="146" t="n"/>
      <c r="W48" s="160" t="n">
        <v>7.63</v>
      </c>
      <c r="X48" s="161" t="n">
        <v>2.55</v>
      </c>
      <c r="Y48" s="162" t="n">
        <v>1.79</v>
      </c>
      <c r="Z48" s="160" t="n">
        <v>8.44</v>
      </c>
      <c r="AA48" s="161" t="n">
        <v>3.17</v>
      </c>
      <c r="AB48" s="162" t="n">
        <v>2.41</v>
      </c>
      <c r="AC48" s="160" t="n">
        <v>8.44</v>
      </c>
      <c r="AD48" s="161" t="n">
        <v>3.17</v>
      </c>
      <c r="AE48" s="162" t="n">
        <v>2.41</v>
      </c>
      <c r="AF48" s="146" t="n"/>
      <c r="AG48" s="160" t="n">
        <v>24.5</v>
      </c>
      <c r="AH48" s="161" t="n">
        <v>40.1</v>
      </c>
      <c r="AI48" s="162" t="n">
        <v>30.2</v>
      </c>
      <c r="AJ48" s="160" t="n">
        <v>49.2</v>
      </c>
      <c r="AK48" s="161" t="n">
        <v>64.09999999999999</v>
      </c>
      <c r="AL48" s="162" t="n">
        <v>54.2</v>
      </c>
      <c r="AM48" s="160" t="n">
        <v>98.59999999999999</v>
      </c>
      <c r="AN48" s="161" t="n">
        <v>112.2</v>
      </c>
      <c r="AO48" s="162" t="n">
        <v>102.3</v>
      </c>
      <c r="AP48" s="146" t="n"/>
      <c r="AQ48" s="160" t="n">
        <v>106.4</v>
      </c>
      <c r="AR48" s="162" t="n">
        <v>107</v>
      </c>
      <c r="AS48" s="160" t="n">
        <v>136.1</v>
      </c>
      <c r="AT48" s="162" t="n">
        <v>137.3</v>
      </c>
      <c r="AU48" s="160" t="n">
        <v>195.6</v>
      </c>
      <c r="AV48" s="162" t="n">
        <v>197.7</v>
      </c>
      <c r="AW48" s="147" t="n"/>
    </row>
    <row r="49">
      <c r="A49" s="150" t="n"/>
      <c r="B49" s="159" t="n">
        <v>2049</v>
      </c>
      <c r="C49" s="160" t="n">
        <v>18.89</v>
      </c>
      <c r="D49" s="161" t="n">
        <v>11.71</v>
      </c>
      <c r="E49" s="162" t="n">
        <v>10.33</v>
      </c>
      <c r="F49" s="160" t="n">
        <v>20.08</v>
      </c>
      <c r="G49" s="161" t="n">
        <v>12.23</v>
      </c>
      <c r="H49" s="162" t="n">
        <v>11.48</v>
      </c>
      <c r="I49" s="160" t="n">
        <v>21.32</v>
      </c>
      <c r="J49" s="161" t="n">
        <v>13.18</v>
      </c>
      <c r="K49" s="162" t="n">
        <v>13.13</v>
      </c>
      <c r="L49" s="146" t="n"/>
      <c r="M49" s="160" t="n">
        <v>3.79</v>
      </c>
      <c r="N49" s="161" t="n">
        <v>2.1</v>
      </c>
      <c r="O49" s="162" t="n">
        <v>1.18</v>
      </c>
      <c r="P49" s="160" t="n">
        <v>5.52</v>
      </c>
      <c r="Q49" s="161" t="n">
        <v>3.8</v>
      </c>
      <c r="R49" s="162" t="n">
        <v>2.89</v>
      </c>
      <c r="S49" s="160" t="n">
        <v>8.6</v>
      </c>
      <c r="T49" s="161" t="n">
        <v>6.82</v>
      </c>
      <c r="U49" s="162" t="n">
        <v>5.93</v>
      </c>
      <c r="V49" s="146" t="n"/>
      <c r="W49" s="160" t="n">
        <v>7.63</v>
      </c>
      <c r="X49" s="161" t="n">
        <v>2.55</v>
      </c>
      <c r="Y49" s="162" t="n">
        <v>1.79</v>
      </c>
      <c r="Z49" s="160" t="n">
        <v>8.44</v>
      </c>
      <c r="AA49" s="161" t="n">
        <v>3.17</v>
      </c>
      <c r="AB49" s="162" t="n">
        <v>2.41</v>
      </c>
      <c r="AC49" s="160" t="n">
        <v>8.44</v>
      </c>
      <c r="AD49" s="161" t="n">
        <v>3.17</v>
      </c>
      <c r="AE49" s="162" t="n">
        <v>2.41</v>
      </c>
      <c r="AF49" s="146" t="n"/>
      <c r="AG49" s="160" t="n">
        <v>24.5</v>
      </c>
      <c r="AH49" s="161" t="n">
        <v>40.1</v>
      </c>
      <c r="AI49" s="162" t="n">
        <v>30.2</v>
      </c>
      <c r="AJ49" s="160" t="n">
        <v>49.2</v>
      </c>
      <c r="AK49" s="161" t="n">
        <v>64.09999999999999</v>
      </c>
      <c r="AL49" s="162" t="n">
        <v>54.2</v>
      </c>
      <c r="AM49" s="160" t="n">
        <v>98.59999999999999</v>
      </c>
      <c r="AN49" s="161" t="n">
        <v>112.2</v>
      </c>
      <c r="AO49" s="162" t="n">
        <v>102.2</v>
      </c>
      <c r="AP49" s="146" t="n"/>
      <c r="AQ49" s="160" t="n">
        <v>106.2</v>
      </c>
      <c r="AR49" s="162" t="n">
        <v>106.8</v>
      </c>
      <c r="AS49" s="160" t="n">
        <v>135.9</v>
      </c>
      <c r="AT49" s="162" t="n">
        <v>137.1</v>
      </c>
      <c r="AU49" s="160" t="n">
        <v>195.5</v>
      </c>
      <c r="AV49" s="162" t="n">
        <v>197.5</v>
      </c>
      <c r="AW49" s="147" t="n"/>
    </row>
    <row r="50">
      <c r="A50" s="150" t="n"/>
      <c r="B50" s="159" t="n">
        <v>2050</v>
      </c>
      <c r="C50" s="160" t="n">
        <v>19.1</v>
      </c>
      <c r="D50" s="161" t="n">
        <v>11.59</v>
      </c>
      <c r="E50" s="162" t="n">
        <v>10.26</v>
      </c>
      <c r="F50" s="160" t="n">
        <v>20.3</v>
      </c>
      <c r="G50" s="161" t="n">
        <v>12.11</v>
      </c>
      <c r="H50" s="162" t="n">
        <v>11.4</v>
      </c>
      <c r="I50" s="160" t="n">
        <v>21.56</v>
      </c>
      <c r="J50" s="161" t="n">
        <v>13.05</v>
      </c>
      <c r="K50" s="162" t="n">
        <v>13.04</v>
      </c>
      <c r="L50" s="146" t="n"/>
      <c r="M50" s="160" t="n">
        <v>3.78</v>
      </c>
      <c r="N50" s="161" t="n">
        <v>2.11</v>
      </c>
      <c r="O50" s="162" t="n">
        <v>1.18</v>
      </c>
      <c r="P50" s="160" t="n">
        <v>5.52</v>
      </c>
      <c r="Q50" s="161" t="n">
        <v>3.81</v>
      </c>
      <c r="R50" s="162" t="n">
        <v>2.89</v>
      </c>
      <c r="S50" s="160" t="n">
        <v>8.6</v>
      </c>
      <c r="T50" s="161" t="n">
        <v>6.82</v>
      </c>
      <c r="U50" s="162" t="n">
        <v>5.93</v>
      </c>
      <c r="V50" s="146" t="n"/>
      <c r="W50" s="160" t="n">
        <v>7.63</v>
      </c>
      <c r="X50" s="161" t="n">
        <v>2.55</v>
      </c>
      <c r="Y50" s="162" t="n">
        <v>1.79</v>
      </c>
      <c r="Z50" s="160" t="n">
        <v>8.44</v>
      </c>
      <c r="AA50" s="161" t="n">
        <v>3.17</v>
      </c>
      <c r="AB50" s="162" t="n">
        <v>2.41</v>
      </c>
      <c r="AC50" s="160" t="n">
        <v>8.44</v>
      </c>
      <c r="AD50" s="161" t="n">
        <v>3.17</v>
      </c>
      <c r="AE50" s="162" t="n">
        <v>2.41</v>
      </c>
      <c r="AF50" s="146" t="n"/>
      <c r="AG50" s="160" t="n">
        <v>24.5</v>
      </c>
      <c r="AH50" s="161" t="n">
        <v>40.1</v>
      </c>
      <c r="AI50" s="162" t="n">
        <v>30.2</v>
      </c>
      <c r="AJ50" s="160" t="n">
        <v>49.2</v>
      </c>
      <c r="AK50" s="161" t="n">
        <v>64.09999999999999</v>
      </c>
      <c r="AL50" s="162" t="n">
        <v>54.2</v>
      </c>
      <c r="AM50" s="160" t="n">
        <v>98.59999999999999</v>
      </c>
      <c r="AN50" s="161" t="n">
        <v>112.1</v>
      </c>
      <c r="AO50" s="162" t="n">
        <v>102.2</v>
      </c>
      <c r="AP50" s="146" t="n"/>
      <c r="AQ50" s="160" t="n">
        <v>106</v>
      </c>
      <c r="AR50" s="162" t="n">
        <v>106.7</v>
      </c>
      <c r="AS50" s="160" t="n">
        <v>135.7</v>
      </c>
      <c r="AT50" s="162" t="n">
        <v>136.9</v>
      </c>
      <c r="AU50" s="160" t="n">
        <v>195.3</v>
      </c>
      <c r="AV50" s="162" t="n">
        <v>197.3</v>
      </c>
      <c r="AW50" s="147" t="n"/>
    </row>
    <row r="51">
      <c r="A51" s="150" t="n"/>
      <c r="B51" s="159" t="n">
        <v>2051</v>
      </c>
      <c r="C51" s="160" t="n">
        <v>19.1</v>
      </c>
      <c r="D51" s="161" t="n">
        <v>11.59</v>
      </c>
      <c r="E51" s="162" t="n">
        <v>10.26</v>
      </c>
      <c r="F51" s="160" t="n">
        <v>20.3</v>
      </c>
      <c r="G51" s="161" t="n">
        <v>12.11</v>
      </c>
      <c r="H51" s="162" t="n">
        <v>11.4</v>
      </c>
      <c r="I51" s="160" t="n">
        <v>21.56</v>
      </c>
      <c r="J51" s="161" t="n">
        <v>13.05</v>
      </c>
      <c r="K51" s="162" t="n">
        <v>13.04</v>
      </c>
      <c r="L51" s="146" t="n"/>
      <c r="M51" s="160" t="n">
        <v>3.78</v>
      </c>
      <c r="N51" s="161" t="n">
        <v>2.11</v>
      </c>
      <c r="O51" s="162" t="n">
        <v>1.18</v>
      </c>
      <c r="P51" s="160" t="n">
        <v>5.52</v>
      </c>
      <c r="Q51" s="161" t="n">
        <v>3.81</v>
      </c>
      <c r="R51" s="162" t="n">
        <v>2.89</v>
      </c>
      <c r="S51" s="160" t="n">
        <v>8.6</v>
      </c>
      <c r="T51" s="161" t="n">
        <v>6.82</v>
      </c>
      <c r="U51" s="162" t="n">
        <v>5.93</v>
      </c>
      <c r="V51" s="146" t="n"/>
      <c r="W51" s="160" t="n">
        <v>7.63</v>
      </c>
      <c r="X51" s="161" t="n">
        <v>2.54</v>
      </c>
      <c r="Y51" s="162" t="n">
        <v>1.79</v>
      </c>
      <c r="Z51" s="160" t="n">
        <v>8.44</v>
      </c>
      <c r="AA51" s="161" t="n">
        <v>3.16</v>
      </c>
      <c r="AB51" s="162" t="n">
        <v>2.41</v>
      </c>
      <c r="AC51" s="160" t="n">
        <v>8.44</v>
      </c>
      <c r="AD51" s="161" t="n">
        <v>3.16</v>
      </c>
      <c r="AE51" s="162" t="n">
        <v>2.41</v>
      </c>
      <c r="AF51" s="146" t="n"/>
      <c r="AG51" s="160" t="n">
        <v>24.5</v>
      </c>
      <c r="AH51" s="161" t="n">
        <v>40</v>
      </c>
      <c r="AI51" s="162" t="n">
        <v>30.1</v>
      </c>
      <c r="AJ51" s="160" t="n">
        <v>49.2</v>
      </c>
      <c r="AK51" s="161" t="n">
        <v>64.09999999999999</v>
      </c>
      <c r="AL51" s="162" t="n">
        <v>54.2</v>
      </c>
      <c r="AM51" s="160" t="n">
        <v>98.59999999999999</v>
      </c>
      <c r="AN51" s="161" t="n">
        <v>112.1</v>
      </c>
      <c r="AO51" s="162" t="n">
        <v>102.2</v>
      </c>
      <c r="AP51" s="146" t="n"/>
      <c r="AQ51" s="160" t="n">
        <v>105.8</v>
      </c>
      <c r="AR51" s="162" t="n">
        <v>106.5</v>
      </c>
      <c r="AS51" s="160" t="n">
        <v>135.6</v>
      </c>
      <c r="AT51" s="162" t="n">
        <v>136.7</v>
      </c>
      <c r="AU51" s="160" t="n">
        <v>195.1</v>
      </c>
      <c r="AV51" s="162" t="n">
        <v>197.1</v>
      </c>
      <c r="AW51" s="147" t="n"/>
    </row>
    <row r="52">
      <c r="A52" s="150" t="n"/>
      <c r="B52" s="159" t="n">
        <v>2052</v>
      </c>
      <c r="C52" s="160" t="n">
        <v>19.1</v>
      </c>
      <c r="D52" s="161" t="n">
        <v>11.59</v>
      </c>
      <c r="E52" s="162" t="n">
        <v>10.26</v>
      </c>
      <c r="F52" s="160" t="n">
        <v>20.3</v>
      </c>
      <c r="G52" s="161" t="n">
        <v>12.11</v>
      </c>
      <c r="H52" s="162" t="n">
        <v>11.4</v>
      </c>
      <c r="I52" s="160" t="n">
        <v>21.56</v>
      </c>
      <c r="J52" s="161" t="n">
        <v>13.05</v>
      </c>
      <c r="K52" s="162" t="n">
        <v>13.04</v>
      </c>
      <c r="L52" s="146" t="n"/>
      <c r="M52" s="160" t="n">
        <v>3.78</v>
      </c>
      <c r="N52" s="161" t="n">
        <v>2.11</v>
      </c>
      <c r="O52" s="162" t="n">
        <v>1.18</v>
      </c>
      <c r="P52" s="160" t="n">
        <v>5.52</v>
      </c>
      <c r="Q52" s="161" t="n">
        <v>3.81</v>
      </c>
      <c r="R52" s="162" t="n">
        <v>2.89</v>
      </c>
      <c r="S52" s="160" t="n">
        <v>8.6</v>
      </c>
      <c r="T52" s="161" t="n">
        <v>6.82</v>
      </c>
      <c r="U52" s="162" t="n">
        <v>5.93</v>
      </c>
      <c r="V52" s="146" t="n"/>
      <c r="W52" s="160" t="n">
        <v>7.63</v>
      </c>
      <c r="X52" s="161" t="n">
        <v>2.54</v>
      </c>
      <c r="Y52" s="162" t="n">
        <v>1.78</v>
      </c>
      <c r="Z52" s="160" t="n">
        <v>8.44</v>
      </c>
      <c r="AA52" s="161" t="n">
        <v>3.16</v>
      </c>
      <c r="AB52" s="162" t="n">
        <v>2.41</v>
      </c>
      <c r="AC52" s="160" t="n">
        <v>8.44</v>
      </c>
      <c r="AD52" s="161" t="n">
        <v>3.16</v>
      </c>
      <c r="AE52" s="162" t="n">
        <v>2.41</v>
      </c>
      <c r="AF52" s="146" t="n"/>
      <c r="AG52" s="160" t="n">
        <v>24.5</v>
      </c>
      <c r="AH52" s="161" t="n">
        <v>40</v>
      </c>
      <c r="AI52" s="162" t="n">
        <v>30.1</v>
      </c>
      <c r="AJ52" s="160" t="n">
        <v>49.2</v>
      </c>
      <c r="AK52" s="161" t="n">
        <v>64</v>
      </c>
      <c r="AL52" s="162" t="n">
        <v>54.1</v>
      </c>
      <c r="AM52" s="160" t="n">
        <v>98.59999999999999</v>
      </c>
      <c r="AN52" s="161" t="n">
        <v>112.1</v>
      </c>
      <c r="AO52" s="162" t="n">
        <v>102.2</v>
      </c>
      <c r="AP52" s="146" t="n"/>
      <c r="AQ52" s="160" t="n">
        <v>105.6</v>
      </c>
      <c r="AR52" s="162" t="n">
        <v>106.3</v>
      </c>
      <c r="AS52" s="160" t="n">
        <v>135.4</v>
      </c>
      <c r="AT52" s="162" t="n">
        <v>136.5</v>
      </c>
      <c r="AU52" s="160" t="n">
        <v>194.9</v>
      </c>
      <c r="AV52" s="162" t="n">
        <v>196.9</v>
      </c>
      <c r="AW52" s="147" t="n"/>
    </row>
    <row r="53">
      <c r="A53" s="150" t="n"/>
      <c r="B53" s="159" t="n">
        <v>2053</v>
      </c>
      <c r="C53" s="160" t="n">
        <v>19.1</v>
      </c>
      <c r="D53" s="161" t="n">
        <v>11.59</v>
      </c>
      <c r="E53" s="162" t="n">
        <v>10.26</v>
      </c>
      <c r="F53" s="160" t="n">
        <v>20.3</v>
      </c>
      <c r="G53" s="161" t="n">
        <v>12.11</v>
      </c>
      <c r="H53" s="162" t="n">
        <v>11.4</v>
      </c>
      <c r="I53" s="160" t="n">
        <v>21.56</v>
      </c>
      <c r="J53" s="161" t="n">
        <v>13.05</v>
      </c>
      <c r="K53" s="162" t="n">
        <v>13.04</v>
      </c>
      <c r="L53" s="146" t="n"/>
      <c r="M53" s="160" t="n">
        <v>3.78</v>
      </c>
      <c r="N53" s="161" t="n">
        <v>2.11</v>
      </c>
      <c r="O53" s="162" t="n">
        <v>1.18</v>
      </c>
      <c r="P53" s="160" t="n">
        <v>5.52</v>
      </c>
      <c r="Q53" s="161" t="n">
        <v>3.81</v>
      </c>
      <c r="R53" s="162" t="n">
        <v>2.89</v>
      </c>
      <c r="S53" s="160" t="n">
        <v>8.6</v>
      </c>
      <c r="T53" s="161" t="n">
        <v>6.82</v>
      </c>
      <c r="U53" s="162" t="n">
        <v>5.93</v>
      </c>
      <c r="V53" s="146" t="n"/>
      <c r="W53" s="160" t="n">
        <v>7.63</v>
      </c>
      <c r="X53" s="161" t="n">
        <v>2.54</v>
      </c>
      <c r="Y53" s="162" t="n">
        <v>1.78</v>
      </c>
      <c r="Z53" s="160" t="n">
        <v>8.44</v>
      </c>
      <c r="AA53" s="161" t="n">
        <v>3.16</v>
      </c>
      <c r="AB53" s="162" t="n">
        <v>2.4</v>
      </c>
      <c r="AC53" s="160" t="n">
        <v>8.44</v>
      </c>
      <c r="AD53" s="161" t="n">
        <v>3.16</v>
      </c>
      <c r="AE53" s="162" t="n">
        <v>2.4</v>
      </c>
      <c r="AF53" s="146" t="n"/>
      <c r="AG53" s="160" t="n">
        <v>24.5</v>
      </c>
      <c r="AH53" s="161" t="n">
        <v>40</v>
      </c>
      <c r="AI53" s="162" t="n">
        <v>30.1</v>
      </c>
      <c r="AJ53" s="160" t="n">
        <v>49.2</v>
      </c>
      <c r="AK53" s="161" t="n">
        <v>64</v>
      </c>
      <c r="AL53" s="162" t="n">
        <v>54.1</v>
      </c>
      <c r="AM53" s="160" t="n">
        <v>98.59999999999999</v>
      </c>
      <c r="AN53" s="161" t="n">
        <v>112</v>
      </c>
      <c r="AO53" s="162" t="n">
        <v>102.1</v>
      </c>
      <c r="AP53" s="146" t="n"/>
      <c r="AQ53" s="160" t="n">
        <v>105.4</v>
      </c>
      <c r="AR53" s="162" t="n">
        <v>106.1</v>
      </c>
      <c r="AS53" s="160" t="n">
        <v>135.2</v>
      </c>
      <c r="AT53" s="162" t="n">
        <v>136.3</v>
      </c>
      <c r="AU53" s="160" t="n">
        <v>194.7</v>
      </c>
      <c r="AV53" s="162" t="n">
        <v>196.7</v>
      </c>
      <c r="AW53" s="147" t="n"/>
    </row>
    <row r="54">
      <c r="A54" s="150" t="n"/>
      <c r="B54" s="159" t="n">
        <v>2054</v>
      </c>
      <c r="C54" s="160" t="n">
        <v>19.1</v>
      </c>
      <c r="D54" s="161" t="n">
        <v>11.59</v>
      </c>
      <c r="E54" s="162" t="n">
        <v>10.26</v>
      </c>
      <c r="F54" s="160" t="n">
        <v>20.3</v>
      </c>
      <c r="G54" s="161" t="n">
        <v>12.11</v>
      </c>
      <c r="H54" s="162" t="n">
        <v>11.4</v>
      </c>
      <c r="I54" s="160" t="n">
        <v>21.56</v>
      </c>
      <c r="J54" s="161" t="n">
        <v>13.05</v>
      </c>
      <c r="K54" s="162" t="n">
        <v>13.04</v>
      </c>
      <c r="L54" s="146" t="n"/>
      <c r="M54" s="160" t="n">
        <v>3.78</v>
      </c>
      <c r="N54" s="161" t="n">
        <v>2.11</v>
      </c>
      <c r="O54" s="162" t="n">
        <v>1.18</v>
      </c>
      <c r="P54" s="160" t="n">
        <v>5.52</v>
      </c>
      <c r="Q54" s="161" t="n">
        <v>3.81</v>
      </c>
      <c r="R54" s="162" t="n">
        <v>2.89</v>
      </c>
      <c r="S54" s="160" t="n">
        <v>8.6</v>
      </c>
      <c r="T54" s="161" t="n">
        <v>6.82</v>
      </c>
      <c r="U54" s="162" t="n">
        <v>5.93</v>
      </c>
      <c r="V54" s="146" t="n"/>
      <c r="W54" s="160" t="n">
        <v>7.63</v>
      </c>
      <c r="X54" s="161" t="n">
        <v>2.53</v>
      </c>
      <c r="Y54" s="162" t="n">
        <v>1.78</v>
      </c>
      <c r="Z54" s="160" t="n">
        <v>8.44</v>
      </c>
      <c r="AA54" s="161" t="n">
        <v>3.16</v>
      </c>
      <c r="AB54" s="162" t="n">
        <v>2.4</v>
      </c>
      <c r="AC54" s="160" t="n">
        <v>8.44</v>
      </c>
      <c r="AD54" s="161" t="n">
        <v>3.16</v>
      </c>
      <c r="AE54" s="162" t="n">
        <v>2.4</v>
      </c>
      <c r="AF54" s="146" t="n"/>
      <c r="AG54" s="160" t="n">
        <v>24.5</v>
      </c>
      <c r="AH54" s="161" t="n">
        <v>40</v>
      </c>
      <c r="AI54" s="162" t="n">
        <v>30.1</v>
      </c>
      <c r="AJ54" s="160" t="n">
        <v>49.2</v>
      </c>
      <c r="AK54" s="161" t="n">
        <v>64</v>
      </c>
      <c r="AL54" s="162" t="n">
        <v>54.1</v>
      </c>
      <c r="AM54" s="160" t="n">
        <v>98.59999999999999</v>
      </c>
      <c r="AN54" s="161" t="n">
        <v>112</v>
      </c>
      <c r="AO54" s="162" t="n">
        <v>102.1</v>
      </c>
      <c r="AP54" s="146" t="n"/>
      <c r="AQ54" s="160" t="n">
        <v>105.2</v>
      </c>
      <c r="AR54" s="162" t="n">
        <v>105.9</v>
      </c>
      <c r="AS54" s="160" t="n">
        <v>135</v>
      </c>
      <c r="AT54" s="162" t="n">
        <v>136.1</v>
      </c>
      <c r="AU54" s="160" t="n">
        <v>194.5</v>
      </c>
      <c r="AV54" s="162" t="n">
        <v>196.5</v>
      </c>
      <c r="AW54" s="147" t="n"/>
    </row>
    <row r="55">
      <c r="A55" s="150" t="n"/>
      <c r="B55" s="159" t="n">
        <v>2055</v>
      </c>
      <c r="C55" s="160" t="n">
        <v>19.1</v>
      </c>
      <c r="D55" s="161" t="n">
        <v>11.59</v>
      </c>
      <c r="E55" s="162" t="n">
        <v>10.26</v>
      </c>
      <c r="F55" s="160" t="n">
        <v>20.3</v>
      </c>
      <c r="G55" s="161" t="n">
        <v>12.11</v>
      </c>
      <c r="H55" s="162" t="n">
        <v>11.4</v>
      </c>
      <c r="I55" s="160" t="n">
        <v>21.56</v>
      </c>
      <c r="J55" s="161" t="n">
        <v>13.05</v>
      </c>
      <c r="K55" s="162" t="n">
        <v>13.04</v>
      </c>
      <c r="L55" s="146" t="n"/>
      <c r="M55" s="160" t="n">
        <v>3.78</v>
      </c>
      <c r="N55" s="161" t="n">
        <v>2.11</v>
      </c>
      <c r="O55" s="162" t="n">
        <v>1.18</v>
      </c>
      <c r="P55" s="160" t="n">
        <v>5.52</v>
      </c>
      <c r="Q55" s="161" t="n">
        <v>3.81</v>
      </c>
      <c r="R55" s="162" t="n">
        <v>2.89</v>
      </c>
      <c r="S55" s="160" t="n">
        <v>8.6</v>
      </c>
      <c r="T55" s="161" t="n">
        <v>6.82</v>
      </c>
      <c r="U55" s="162" t="n">
        <v>5.93</v>
      </c>
      <c r="V55" s="146" t="n"/>
      <c r="W55" s="160" t="n">
        <v>7.63</v>
      </c>
      <c r="X55" s="161" t="n">
        <v>2.53</v>
      </c>
      <c r="Y55" s="162" t="n">
        <v>1.78</v>
      </c>
      <c r="Z55" s="160" t="n">
        <v>8.44</v>
      </c>
      <c r="AA55" s="161" t="n">
        <v>3.15</v>
      </c>
      <c r="AB55" s="162" t="n">
        <v>2.4</v>
      </c>
      <c r="AC55" s="160" t="n">
        <v>8.44</v>
      </c>
      <c r="AD55" s="161" t="n">
        <v>3.15</v>
      </c>
      <c r="AE55" s="162" t="n">
        <v>2.4</v>
      </c>
      <c r="AF55" s="146" t="n"/>
      <c r="AG55" s="160" t="n">
        <v>24.5</v>
      </c>
      <c r="AH55" s="161" t="n">
        <v>39.9</v>
      </c>
      <c r="AI55" s="162" t="n">
        <v>30</v>
      </c>
      <c r="AJ55" s="160" t="n">
        <v>49.2</v>
      </c>
      <c r="AK55" s="161" t="n">
        <v>63.9</v>
      </c>
      <c r="AL55" s="162" t="n">
        <v>54</v>
      </c>
      <c r="AM55" s="160" t="n">
        <v>98.59999999999999</v>
      </c>
      <c r="AN55" s="161" t="n">
        <v>112</v>
      </c>
      <c r="AO55" s="162" t="n">
        <v>102.1</v>
      </c>
      <c r="AP55" s="146" t="n"/>
      <c r="AQ55" s="160" t="n">
        <v>105</v>
      </c>
      <c r="AR55" s="162" t="n">
        <v>105.7</v>
      </c>
      <c r="AS55" s="160" t="n">
        <v>134.8</v>
      </c>
      <c r="AT55" s="162" t="n">
        <v>135.9</v>
      </c>
      <c r="AU55" s="160" t="n">
        <v>194.3</v>
      </c>
      <c r="AV55" s="162" t="n">
        <v>196.3</v>
      </c>
      <c r="AW55" s="147" t="n"/>
    </row>
    <row r="56">
      <c r="A56" s="150" t="n"/>
      <c r="B56" s="159" t="n">
        <v>2056</v>
      </c>
      <c r="C56" s="160" t="n">
        <v>19.1</v>
      </c>
      <c r="D56" s="161" t="n">
        <v>11.59</v>
      </c>
      <c r="E56" s="162" t="n">
        <v>10.26</v>
      </c>
      <c r="F56" s="160" t="n">
        <v>20.3</v>
      </c>
      <c r="G56" s="161" t="n">
        <v>12.11</v>
      </c>
      <c r="H56" s="162" t="n">
        <v>11.4</v>
      </c>
      <c r="I56" s="160" t="n">
        <v>21.56</v>
      </c>
      <c r="J56" s="161" t="n">
        <v>13.05</v>
      </c>
      <c r="K56" s="162" t="n">
        <v>13.04</v>
      </c>
      <c r="L56" s="146" t="n"/>
      <c r="M56" s="160" t="n">
        <v>3.78</v>
      </c>
      <c r="N56" s="161" t="n">
        <v>2.11</v>
      </c>
      <c r="O56" s="162" t="n">
        <v>1.18</v>
      </c>
      <c r="P56" s="160" t="n">
        <v>5.52</v>
      </c>
      <c r="Q56" s="161" t="n">
        <v>3.81</v>
      </c>
      <c r="R56" s="162" t="n">
        <v>2.89</v>
      </c>
      <c r="S56" s="160" t="n">
        <v>8.6</v>
      </c>
      <c r="T56" s="161" t="n">
        <v>6.82</v>
      </c>
      <c r="U56" s="162" t="n">
        <v>5.93</v>
      </c>
      <c r="V56" s="146" t="n"/>
      <c r="W56" s="160" t="n">
        <v>7.63</v>
      </c>
      <c r="X56" s="161" t="n">
        <v>2.53</v>
      </c>
      <c r="Y56" s="162" t="n">
        <v>1.78</v>
      </c>
      <c r="Z56" s="160" t="n">
        <v>8.44</v>
      </c>
      <c r="AA56" s="161" t="n">
        <v>3.15</v>
      </c>
      <c r="AB56" s="162" t="n">
        <v>2.4</v>
      </c>
      <c r="AC56" s="160" t="n">
        <v>8.44</v>
      </c>
      <c r="AD56" s="161" t="n">
        <v>3.15</v>
      </c>
      <c r="AE56" s="162" t="n">
        <v>2.4</v>
      </c>
      <c r="AF56" s="146" t="n"/>
      <c r="AG56" s="160" t="n">
        <v>24.5</v>
      </c>
      <c r="AH56" s="161" t="n">
        <v>39.9</v>
      </c>
      <c r="AI56" s="162" t="n">
        <v>30</v>
      </c>
      <c r="AJ56" s="160" t="n">
        <v>49.2</v>
      </c>
      <c r="AK56" s="161" t="n">
        <v>63.9</v>
      </c>
      <c r="AL56" s="162" t="n">
        <v>54</v>
      </c>
      <c r="AM56" s="160" t="n">
        <v>98.59999999999999</v>
      </c>
      <c r="AN56" s="161" t="n">
        <v>112</v>
      </c>
      <c r="AO56" s="162" t="n">
        <v>102.1</v>
      </c>
      <c r="AP56" s="146" t="n"/>
      <c r="AQ56" s="160" t="n">
        <v>104.8</v>
      </c>
      <c r="AR56" s="162" t="n">
        <v>105.5</v>
      </c>
      <c r="AS56" s="160" t="n">
        <v>134.6</v>
      </c>
      <c r="AT56" s="162" t="n">
        <v>135.7</v>
      </c>
      <c r="AU56" s="160" t="n">
        <v>194.1</v>
      </c>
      <c r="AV56" s="162" t="n">
        <v>196.1</v>
      </c>
      <c r="AW56" s="147" t="n"/>
    </row>
    <row r="57">
      <c r="A57" s="150" t="n"/>
      <c r="B57" s="159" t="n">
        <v>2057</v>
      </c>
      <c r="C57" s="160" t="n">
        <v>19.1</v>
      </c>
      <c r="D57" s="161" t="n">
        <v>11.59</v>
      </c>
      <c r="E57" s="162" t="n">
        <v>10.26</v>
      </c>
      <c r="F57" s="160" t="n">
        <v>20.3</v>
      </c>
      <c r="G57" s="161" t="n">
        <v>12.11</v>
      </c>
      <c r="H57" s="162" t="n">
        <v>11.4</v>
      </c>
      <c r="I57" s="160" t="n">
        <v>21.56</v>
      </c>
      <c r="J57" s="161" t="n">
        <v>13.05</v>
      </c>
      <c r="K57" s="162" t="n">
        <v>13.04</v>
      </c>
      <c r="L57" s="146" t="n"/>
      <c r="M57" s="160" t="n">
        <v>3.78</v>
      </c>
      <c r="N57" s="161" t="n">
        <v>2.11</v>
      </c>
      <c r="O57" s="162" t="n">
        <v>1.18</v>
      </c>
      <c r="P57" s="160" t="n">
        <v>5.52</v>
      </c>
      <c r="Q57" s="161" t="n">
        <v>3.81</v>
      </c>
      <c r="R57" s="162" t="n">
        <v>2.89</v>
      </c>
      <c r="S57" s="160" t="n">
        <v>8.6</v>
      </c>
      <c r="T57" s="161" t="n">
        <v>6.82</v>
      </c>
      <c r="U57" s="162" t="n">
        <v>5.93</v>
      </c>
      <c r="V57" s="146" t="n"/>
      <c r="W57" s="160" t="n">
        <v>7.63</v>
      </c>
      <c r="X57" s="161" t="n">
        <v>2.53</v>
      </c>
      <c r="Y57" s="162" t="n">
        <v>1.78</v>
      </c>
      <c r="Z57" s="160" t="n">
        <v>8.44</v>
      </c>
      <c r="AA57" s="161" t="n">
        <v>3.15</v>
      </c>
      <c r="AB57" s="162" t="n">
        <v>2.4</v>
      </c>
      <c r="AC57" s="160" t="n">
        <v>8.44</v>
      </c>
      <c r="AD57" s="161" t="n">
        <v>3.15</v>
      </c>
      <c r="AE57" s="162" t="n">
        <v>2.4</v>
      </c>
      <c r="AF57" s="146" t="n"/>
      <c r="AG57" s="160" t="n">
        <v>24.5</v>
      </c>
      <c r="AH57" s="161" t="n">
        <v>39.9</v>
      </c>
      <c r="AI57" s="162" t="n">
        <v>30</v>
      </c>
      <c r="AJ57" s="160" t="n">
        <v>49.2</v>
      </c>
      <c r="AK57" s="161" t="n">
        <v>63.9</v>
      </c>
      <c r="AL57" s="162" t="n">
        <v>54</v>
      </c>
      <c r="AM57" s="160" t="n">
        <v>98.59999999999999</v>
      </c>
      <c r="AN57" s="161" t="n">
        <v>111.9</v>
      </c>
      <c r="AO57" s="162" t="n">
        <v>102</v>
      </c>
      <c r="AP57" s="146" t="n"/>
      <c r="AQ57" s="160" t="n">
        <v>104.7</v>
      </c>
      <c r="AR57" s="162" t="n">
        <v>105.3</v>
      </c>
      <c r="AS57" s="160" t="n">
        <v>134.4</v>
      </c>
      <c r="AT57" s="162" t="n">
        <v>135.5</v>
      </c>
      <c r="AU57" s="160" t="n">
        <v>193.9</v>
      </c>
      <c r="AV57" s="162" t="n">
        <v>196</v>
      </c>
      <c r="AW57" s="147" t="n"/>
    </row>
    <row r="58">
      <c r="A58" s="150" t="n"/>
      <c r="B58" s="159" t="n">
        <v>2058</v>
      </c>
      <c r="C58" s="160" t="n">
        <v>19.1</v>
      </c>
      <c r="D58" s="161" t="n">
        <v>11.59</v>
      </c>
      <c r="E58" s="162" t="n">
        <v>10.26</v>
      </c>
      <c r="F58" s="160" t="n">
        <v>20.3</v>
      </c>
      <c r="G58" s="161" t="n">
        <v>12.11</v>
      </c>
      <c r="H58" s="162" t="n">
        <v>11.4</v>
      </c>
      <c r="I58" s="160" t="n">
        <v>21.56</v>
      </c>
      <c r="J58" s="161" t="n">
        <v>13.05</v>
      </c>
      <c r="K58" s="162" t="n">
        <v>13.04</v>
      </c>
      <c r="L58" s="146" t="n"/>
      <c r="M58" s="160" t="n">
        <v>3.78</v>
      </c>
      <c r="N58" s="161" t="n">
        <v>2.11</v>
      </c>
      <c r="O58" s="162" t="n">
        <v>1.18</v>
      </c>
      <c r="P58" s="160" t="n">
        <v>5.52</v>
      </c>
      <c r="Q58" s="161" t="n">
        <v>3.81</v>
      </c>
      <c r="R58" s="162" t="n">
        <v>2.89</v>
      </c>
      <c r="S58" s="160" t="n">
        <v>8.6</v>
      </c>
      <c r="T58" s="161" t="n">
        <v>6.82</v>
      </c>
      <c r="U58" s="162" t="n">
        <v>5.93</v>
      </c>
      <c r="V58" s="146" t="n"/>
      <c r="W58" s="160" t="n">
        <v>7.63</v>
      </c>
      <c r="X58" s="161" t="n">
        <v>2.52</v>
      </c>
      <c r="Y58" s="162" t="n">
        <v>1.78</v>
      </c>
      <c r="Z58" s="160" t="n">
        <v>8.44</v>
      </c>
      <c r="AA58" s="161" t="n">
        <v>3.14</v>
      </c>
      <c r="AB58" s="162" t="n">
        <v>2.4</v>
      </c>
      <c r="AC58" s="160" t="n">
        <v>8.44</v>
      </c>
      <c r="AD58" s="161" t="n">
        <v>3.14</v>
      </c>
      <c r="AE58" s="162" t="n">
        <v>2.4</v>
      </c>
      <c r="AF58" s="146" t="n"/>
      <c r="AG58" s="160" t="n">
        <v>24.5</v>
      </c>
      <c r="AH58" s="161" t="n">
        <v>39.8</v>
      </c>
      <c r="AI58" s="162" t="n">
        <v>29.9</v>
      </c>
      <c r="AJ58" s="160" t="n">
        <v>49.2</v>
      </c>
      <c r="AK58" s="161" t="n">
        <v>63.9</v>
      </c>
      <c r="AL58" s="162" t="n">
        <v>54</v>
      </c>
      <c r="AM58" s="160" t="n">
        <v>98.59999999999999</v>
      </c>
      <c r="AN58" s="161" t="n">
        <v>111.9</v>
      </c>
      <c r="AO58" s="162" t="n">
        <v>102</v>
      </c>
      <c r="AP58" s="146" t="n"/>
      <c r="AQ58" s="160" t="n">
        <v>104.5</v>
      </c>
      <c r="AR58" s="162" t="n">
        <v>105.1</v>
      </c>
      <c r="AS58" s="160" t="n">
        <v>134.2</v>
      </c>
      <c r="AT58" s="162" t="n">
        <v>135.3</v>
      </c>
      <c r="AU58" s="160" t="n">
        <v>193.7</v>
      </c>
      <c r="AV58" s="162" t="n">
        <v>195.8</v>
      </c>
      <c r="AW58" s="147" t="n"/>
    </row>
    <row r="59">
      <c r="A59" s="150" t="n"/>
      <c r="B59" s="159" t="n">
        <v>2059</v>
      </c>
      <c r="C59" s="160" t="n">
        <v>19.1</v>
      </c>
      <c r="D59" s="161" t="n">
        <v>11.59</v>
      </c>
      <c r="E59" s="162" t="n">
        <v>10.26</v>
      </c>
      <c r="F59" s="160" t="n">
        <v>20.3</v>
      </c>
      <c r="G59" s="161" t="n">
        <v>12.11</v>
      </c>
      <c r="H59" s="162" t="n">
        <v>11.4</v>
      </c>
      <c r="I59" s="160" t="n">
        <v>21.56</v>
      </c>
      <c r="J59" s="161" t="n">
        <v>13.05</v>
      </c>
      <c r="K59" s="162" t="n">
        <v>13.04</v>
      </c>
      <c r="L59" s="146" t="n"/>
      <c r="M59" s="160" t="n">
        <v>3.78</v>
      </c>
      <c r="N59" s="161" t="n">
        <v>2.11</v>
      </c>
      <c r="O59" s="162" t="n">
        <v>1.18</v>
      </c>
      <c r="P59" s="160" t="n">
        <v>5.52</v>
      </c>
      <c r="Q59" s="161" t="n">
        <v>3.81</v>
      </c>
      <c r="R59" s="162" t="n">
        <v>2.89</v>
      </c>
      <c r="S59" s="160" t="n">
        <v>8.6</v>
      </c>
      <c r="T59" s="161" t="n">
        <v>6.82</v>
      </c>
      <c r="U59" s="162" t="n">
        <v>5.93</v>
      </c>
      <c r="V59" s="146" t="n"/>
      <c r="W59" s="160" t="n">
        <v>7.63</v>
      </c>
      <c r="X59" s="161" t="n">
        <v>2.52</v>
      </c>
      <c r="Y59" s="162" t="n">
        <v>1.78</v>
      </c>
      <c r="Z59" s="160" t="n">
        <v>8.44</v>
      </c>
      <c r="AA59" s="161" t="n">
        <v>3.14</v>
      </c>
      <c r="AB59" s="162" t="n">
        <v>2.4</v>
      </c>
      <c r="AC59" s="160" t="n">
        <v>8.44</v>
      </c>
      <c r="AD59" s="161" t="n">
        <v>3.14</v>
      </c>
      <c r="AE59" s="162" t="n">
        <v>2.4</v>
      </c>
      <c r="AF59" s="146" t="n"/>
      <c r="AG59" s="160" t="n">
        <v>24.5</v>
      </c>
      <c r="AH59" s="161" t="n">
        <v>39.8</v>
      </c>
      <c r="AI59" s="162" t="n">
        <v>29.9</v>
      </c>
      <c r="AJ59" s="160" t="n">
        <v>49.2</v>
      </c>
      <c r="AK59" s="161" t="n">
        <v>63.8</v>
      </c>
      <c r="AL59" s="162" t="n">
        <v>53.9</v>
      </c>
      <c r="AM59" s="160" t="n">
        <v>98.59999999999999</v>
      </c>
      <c r="AN59" s="161" t="n">
        <v>111.9</v>
      </c>
      <c r="AO59" s="162" t="n">
        <v>102</v>
      </c>
      <c r="AP59" s="146" t="n"/>
      <c r="AQ59" s="160" t="n">
        <v>104.3</v>
      </c>
      <c r="AR59" s="162" t="n">
        <v>104.9</v>
      </c>
      <c r="AS59" s="160" t="n">
        <v>134</v>
      </c>
      <c r="AT59" s="162" t="n">
        <v>135.2</v>
      </c>
      <c r="AU59" s="160" t="n">
        <v>193.5</v>
      </c>
      <c r="AV59" s="162" t="n">
        <v>195.6</v>
      </c>
      <c r="AW59" s="147" t="n"/>
    </row>
    <row r="60">
      <c r="A60" s="150" t="n"/>
      <c r="B60" s="159" t="n">
        <v>2060</v>
      </c>
      <c r="C60" s="160" t="n">
        <v>19.1</v>
      </c>
      <c r="D60" s="161" t="n">
        <v>11.59</v>
      </c>
      <c r="E60" s="162" t="n">
        <v>10.26</v>
      </c>
      <c r="F60" s="160" t="n">
        <v>20.3</v>
      </c>
      <c r="G60" s="161" t="n">
        <v>12.11</v>
      </c>
      <c r="H60" s="162" t="n">
        <v>11.4</v>
      </c>
      <c r="I60" s="160" t="n">
        <v>21.56</v>
      </c>
      <c r="J60" s="161" t="n">
        <v>13.05</v>
      </c>
      <c r="K60" s="162" t="n">
        <v>13.04</v>
      </c>
      <c r="L60" s="146" t="n"/>
      <c r="M60" s="160" t="n">
        <v>3.78</v>
      </c>
      <c r="N60" s="161" t="n">
        <v>2.11</v>
      </c>
      <c r="O60" s="162" t="n">
        <v>1.18</v>
      </c>
      <c r="P60" s="160" t="n">
        <v>5.52</v>
      </c>
      <c r="Q60" s="161" t="n">
        <v>3.81</v>
      </c>
      <c r="R60" s="162" t="n">
        <v>2.89</v>
      </c>
      <c r="S60" s="160" t="n">
        <v>8.6</v>
      </c>
      <c r="T60" s="161" t="n">
        <v>6.82</v>
      </c>
      <c r="U60" s="162" t="n">
        <v>5.93</v>
      </c>
      <c r="V60" s="146" t="n"/>
      <c r="W60" s="160" t="n">
        <v>7.63</v>
      </c>
      <c r="X60" s="161" t="n">
        <v>2.52</v>
      </c>
      <c r="Y60" s="162" t="n">
        <v>1.78</v>
      </c>
      <c r="Z60" s="160" t="n">
        <v>8.44</v>
      </c>
      <c r="AA60" s="161" t="n">
        <v>3.14</v>
      </c>
      <c r="AB60" s="162" t="n">
        <v>2.4</v>
      </c>
      <c r="AC60" s="160" t="n">
        <v>8.44</v>
      </c>
      <c r="AD60" s="161" t="n">
        <v>3.14</v>
      </c>
      <c r="AE60" s="162" t="n">
        <v>2.4</v>
      </c>
      <c r="AF60" s="146" t="n"/>
      <c r="AG60" s="160" t="n">
        <v>24.5</v>
      </c>
      <c r="AH60" s="161" t="n">
        <v>39.8</v>
      </c>
      <c r="AI60" s="162" t="n">
        <v>29.9</v>
      </c>
      <c r="AJ60" s="160" t="n">
        <v>49.2</v>
      </c>
      <c r="AK60" s="161" t="n">
        <v>63.8</v>
      </c>
      <c r="AL60" s="162" t="n">
        <v>53.9</v>
      </c>
      <c r="AM60" s="160" t="n">
        <v>98.59999999999999</v>
      </c>
      <c r="AN60" s="161" t="n">
        <v>111.8</v>
      </c>
      <c r="AO60" s="162" t="n">
        <v>101.9</v>
      </c>
      <c r="AP60" s="146" t="n"/>
      <c r="AQ60" s="160" t="n">
        <v>104.1</v>
      </c>
      <c r="AR60" s="162" t="n">
        <v>104.8</v>
      </c>
      <c r="AS60" s="160" t="n">
        <v>133.8</v>
      </c>
      <c r="AT60" s="162" t="n">
        <v>135</v>
      </c>
      <c r="AU60" s="160" t="n">
        <v>193.4</v>
      </c>
      <c r="AV60" s="162" t="n">
        <v>195.4</v>
      </c>
      <c r="AW60" s="147" t="n"/>
    </row>
    <row r="61">
      <c r="A61" s="150" t="n"/>
      <c r="B61" s="159" t="n">
        <v>2061</v>
      </c>
      <c r="C61" s="160" t="n">
        <v>19.1</v>
      </c>
      <c r="D61" s="161" t="n">
        <v>11.59</v>
      </c>
      <c r="E61" s="162" t="n">
        <v>10.26</v>
      </c>
      <c r="F61" s="160" t="n">
        <v>20.3</v>
      </c>
      <c r="G61" s="161" t="n">
        <v>12.11</v>
      </c>
      <c r="H61" s="162" t="n">
        <v>11.4</v>
      </c>
      <c r="I61" s="160" t="n">
        <v>21.56</v>
      </c>
      <c r="J61" s="161" t="n">
        <v>13.05</v>
      </c>
      <c r="K61" s="162" t="n">
        <v>13.04</v>
      </c>
      <c r="L61" s="146" t="n"/>
      <c r="M61" s="160" t="n">
        <v>3.78</v>
      </c>
      <c r="N61" s="161" t="n">
        <v>2.11</v>
      </c>
      <c r="O61" s="162" t="n">
        <v>1.18</v>
      </c>
      <c r="P61" s="160" t="n">
        <v>5.52</v>
      </c>
      <c r="Q61" s="161" t="n">
        <v>3.81</v>
      </c>
      <c r="R61" s="162" t="n">
        <v>2.89</v>
      </c>
      <c r="S61" s="160" t="n">
        <v>8.6</v>
      </c>
      <c r="T61" s="161" t="n">
        <v>6.82</v>
      </c>
      <c r="U61" s="162" t="n">
        <v>5.93</v>
      </c>
      <c r="V61" s="146" t="n"/>
      <c r="W61" s="160" t="n">
        <v>7.63</v>
      </c>
      <c r="X61" s="161" t="n">
        <v>2.52</v>
      </c>
      <c r="Y61" s="162" t="n">
        <v>1.78</v>
      </c>
      <c r="Z61" s="160" t="n">
        <v>8.44</v>
      </c>
      <c r="AA61" s="161" t="n">
        <v>3.14</v>
      </c>
      <c r="AB61" s="162" t="n">
        <v>2.4</v>
      </c>
      <c r="AC61" s="160" t="n">
        <v>8.44</v>
      </c>
      <c r="AD61" s="161" t="n">
        <v>3.14</v>
      </c>
      <c r="AE61" s="162" t="n">
        <v>2.4</v>
      </c>
      <c r="AF61" s="146" t="n"/>
      <c r="AG61" s="160" t="n">
        <v>24.5</v>
      </c>
      <c r="AH61" s="161" t="n">
        <v>39.8</v>
      </c>
      <c r="AI61" s="162" t="n">
        <v>29.9</v>
      </c>
      <c r="AJ61" s="160" t="n">
        <v>49.2</v>
      </c>
      <c r="AK61" s="161" t="n">
        <v>63.8</v>
      </c>
      <c r="AL61" s="162" t="n">
        <v>53.9</v>
      </c>
      <c r="AM61" s="160" t="n">
        <v>98.59999999999999</v>
      </c>
      <c r="AN61" s="161" t="n">
        <v>111.8</v>
      </c>
      <c r="AO61" s="162" t="n">
        <v>101.9</v>
      </c>
      <c r="AP61" s="146" t="n"/>
      <c r="AQ61" s="160" t="n">
        <v>103.9</v>
      </c>
      <c r="AR61" s="162" t="n">
        <v>104.6</v>
      </c>
      <c r="AS61" s="160" t="n">
        <v>133.7</v>
      </c>
      <c r="AT61" s="162" t="n">
        <v>134.8</v>
      </c>
      <c r="AU61" s="160" t="n">
        <v>193.2</v>
      </c>
      <c r="AV61" s="162" t="n">
        <v>195.2</v>
      </c>
      <c r="AW61" s="147" t="n"/>
    </row>
    <row r="62">
      <c r="A62" s="150" t="n"/>
      <c r="B62" s="159" t="n">
        <v>2062</v>
      </c>
      <c r="C62" s="160" t="n">
        <v>19.1</v>
      </c>
      <c r="D62" s="161" t="n">
        <v>11.59</v>
      </c>
      <c r="E62" s="162" t="n">
        <v>10.26</v>
      </c>
      <c r="F62" s="160" t="n">
        <v>20.3</v>
      </c>
      <c r="G62" s="161" t="n">
        <v>12.11</v>
      </c>
      <c r="H62" s="162" t="n">
        <v>11.4</v>
      </c>
      <c r="I62" s="160" t="n">
        <v>21.56</v>
      </c>
      <c r="J62" s="161" t="n">
        <v>13.05</v>
      </c>
      <c r="K62" s="162" t="n">
        <v>13.04</v>
      </c>
      <c r="L62" s="146" t="n"/>
      <c r="M62" s="160" t="n">
        <v>3.78</v>
      </c>
      <c r="N62" s="161" t="n">
        <v>2.11</v>
      </c>
      <c r="O62" s="162" t="n">
        <v>1.18</v>
      </c>
      <c r="P62" s="160" t="n">
        <v>5.52</v>
      </c>
      <c r="Q62" s="161" t="n">
        <v>3.81</v>
      </c>
      <c r="R62" s="162" t="n">
        <v>2.89</v>
      </c>
      <c r="S62" s="160" t="n">
        <v>8.6</v>
      </c>
      <c r="T62" s="161" t="n">
        <v>6.82</v>
      </c>
      <c r="U62" s="162" t="n">
        <v>5.93</v>
      </c>
      <c r="V62" s="146" t="n"/>
      <c r="W62" s="160" t="n">
        <v>7.63</v>
      </c>
      <c r="X62" s="161" t="n">
        <v>2.51</v>
      </c>
      <c r="Y62" s="162" t="n">
        <v>1.77</v>
      </c>
      <c r="Z62" s="160" t="n">
        <v>8.44</v>
      </c>
      <c r="AA62" s="161" t="n">
        <v>3.13</v>
      </c>
      <c r="AB62" s="162" t="n">
        <v>2.4</v>
      </c>
      <c r="AC62" s="160" t="n">
        <v>8.44</v>
      </c>
      <c r="AD62" s="161" t="n">
        <v>3.13</v>
      </c>
      <c r="AE62" s="162" t="n">
        <v>2.4</v>
      </c>
      <c r="AF62" s="146" t="n"/>
      <c r="AG62" s="160" t="n">
        <v>24.5</v>
      </c>
      <c r="AH62" s="161" t="n">
        <v>39.7</v>
      </c>
      <c r="AI62" s="162" t="n">
        <v>29.8</v>
      </c>
      <c r="AJ62" s="160" t="n">
        <v>49.2</v>
      </c>
      <c r="AK62" s="161" t="n">
        <v>63.8</v>
      </c>
      <c r="AL62" s="162" t="n">
        <v>53.9</v>
      </c>
      <c r="AM62" s="160" t="n">
        <v>98.59999999999999</v>
      </c>
      <c r="AN62" s="161" t="n">
        <v>111.8</v>
      </c>
      <c r="AO62" s="162" t="n">
        <v>101.9</v>
      </c>
      <c r="AP62" s="146" t="n"/>
      <c r="AQ62" s="160" t="n">
        <v>103.7</v>
      </c>
      <c r="AR62" s="162" t="n">
        <v>104.4</v>
      </c>
      <c r="AS62" s="160" t="n">
        <v>133.5</v>
      </c>
      <c r="AT62" s="162" t="n">
        <v>134.6</v>
      </c>
      <c r="AU62" s="160" t="n">
        <v>193</v>
      </c>
      <c r="AV62" s="162" t="n">
        <v>195</v>
      </c>
      <c r="AW62" s="147" t="n"/>
    </row>
    <row r="63">
      <c r="A63" s="150" t="n"/>
      <c r="B63" s="159" t="n">
        <v>2063</v>
      </c>
      <c r="C63" s="160" t="n">
        <v>19.1</v>
      </c>
      <c r="D63" s="161" t="n">
        <v>11.59</v>
      </c>
      <c r="E63" s="162" t="n">
        <v>10.26</v>
      </c>
      <c r="F63" s="160" t="n">
        <v>20.3</v>
      </c>
      <c r="G63" s="161" t="n">
        <v>12.11</v>
      </c>
      <c r="H63" s="162" t="n">
        <v>11.4</v>
      </c>
      <c r="I63" s="160" t="n">
        <v>21.56</v>
      </c>
      <c r="J63" s="161" t="n">
        <v>13.05</v>
      </c>
      <c r="K63" s="162" t="n">
        <v>13.04</v>
      </c>
      <c r="L63" s="146" t="n"/>
      <c r="M63" s="160" t="n">
        <v>3.78</v>
      </c>
      <c r="N63" s="161" t="n">
        <v>2.11</v>
      </c>
      <c r="O63" s="162" t="n">
        <v>1.18</v>
      </c>
      <c r="P63" s="160" t="n">
        <v>5.52</v>
      </c>
      <c r="Q63" s="161" t="n">
        <v>3.81</v>
      </c>
      <c r="R63" s="162" t="n">
        <v>2.89</v>
      </c>
      <c r="S63" s="160" t="n">
        <v>8.6</v>
      </c>
      <c r="T63" s="161" t="n">
        <v>6.82</v>
      </c>
      <c r="U63" s="162" t="n">
        <v>5.93</v>
      </c>
      <c r="V63" s="146" t="n"/>
      <c r="W63" s="160" t="n">
        <v>7.63</v>
      </c>
      <c r="X63" s="161" t="n">
        <v>2.51</v>
      </c>
      <c r="Y63" s="162" t="n">
        <v>1.77</v>
      </c>
      <c r="Z63" s="160" t="n">
        <v>8.44</v>
      </c>
      <c r="AA63" s="161" t="n">
        <v>3.13</v>
      </c>
      <c r="AB63" s="162" t="n">
        <v>2.4</v>
      </c>
      <c r="AC63" s="160" t="n">
        <v>8.44</v>
      </c>
      <c r="AD63" s="161" t="n">
        <v>3.13</v>
      </c>
      <c r="AE63" s="162" t="n">
        <v>2.4</v>
      </c>
      <c r="AF63" s="146" t="n"/>
      <c r="AG63" s="160" t="n">
        <v>24.5</v>
      </c>
      <c r="AH63" s="161" t="n">
        <v>39.7</v>
      </c>
      <c r="AI63" s="162" t="n">
        <v>29.8</v>
      </c>
      <c r="AJ63" s="160" t="n">
        <v>49.2</v>
      </c>
      <c r="AK63" s="161" t="n">
        <v>63.7</v>
      </c>
      <c r="AL63" s="162" t="n">
        <v>53.8</v>
      </c>
      <c r="AM63" s="160" t="n">
        <v>98.59999999999999</v>
      </c>
      <c r="AN63" s="161" t="n">
        <v>111.8</v>
      </c>
      <c r="AO63" s="162" t="n">
        <v>101.9</v>
      </c>
      <c r="AP63" s="146" t="n"/>
      <c r="AQ63" s="160" t="n">
        <v>103.5</v>
      </c>
      <c r="AR63" s="162" t="n">
        <v>104.2</v>
      </c>
      <c r="AS63" s="160" t="n">
        <v>133.3</v>
      </c>
      <c r="AT63" s="162" t="n">
        <v>134.4</v>
      </c>
      <c r="AU63" s="160" t="n">
        <v>192.8</v>
      </c>
      <c r="AV63" s="162" t="n">
        <v>194.8</v>
      </c>
      <c r="AW63" s="147" t="n"/>
    </row>
    <row r="64">
      <c r="A64" s="150" t="n"/>
      <c r="B64" s="159" t="n">
        <v>2064</v>
      </c>
      <c r="C64" s="160" t="n">
        <v>19.1</v>
      </c>
      <c r="D64" s="161" t="n">
        <v>11.59</v>
      </c>
      <c r="E64" s="162" t="n">
        <v>10.26</v>
      </c>
      <c r="F64" s="160" t="n">
        <v>20.3</v>
      </c>
      <c r="G64" s="161" t="n">
        <v>12.11</v>
      </c>
      <c r="H64" s="162" t="n">
        <v>11.4</v>
      </c>
      <c r="I64" s="160" t="n">
        <v>21.56</v>
      </c>
      <c r="J64" s="161" t="n">
        <v>13.05</v>
      </c>
      <c r="K64" s="162" t="n">
        <v>13.04</v>
      </c>
      <c r="L64" s="146" t="n"/>
      <c r="M64" s="160" t="n">
        <v>3.78</v>
      </c>
      <c r="N64" s="161" t="n">
        <v>2.11</v>
      </c>
      <c r="O64" s="162" t="n">
        <v>1.18</v>
      </c>
      <c r="P64" s="160" t="n">
        <v>5.52</v>
      </c>
      <c r="Q64" s="161" t="n">
        <v>3.81</v>
      </c>
      <c r="R64" s="162" t="n">
        <v>2.89</v>
      </c>
      <c r="S64" s="160" t="n">
        <v>8.6</v>
      </c>
      <c r="T64" s="161" t="n">
        <v>6.82</v>
      </c>
      <c r="U64" s="162" t="n">
        <v>5.93</v>
      </c>
      <c r="V64" s="146" t="n"/>
      <c r="W64" s="160" t="n">
        <v>7.63</v>
      </c>
      <c r="X64" s="161" t="n">
        <v>2.51</v>
      </c>
      <c r="Y64" s="162" t="n">
        <v>1.77</v>
      </c>
      <c r="Z64" s="160" t="n">
        <v>8.44</v>
      </c>
      <c r="AA64" s="161" t="n">
        <v>3.13</v>
      </c>
      <c r="AB64" s="162" t="n">
        <v>2.39</v>
      </c>
      <c r="AC64" s="160" t="n">
        <v>8.44</v>
      </c>
      <c r="AD64" s="161" t="n">
        <v>3.13</v>
      </c>
      <c r="AE64" s="162" t="n">
        <v>2.39</v>
      </c>
      <c r="AF64" s="146" t="n"/>
      <c r="AG64" s="160" t="n">
        <v>24.5</v>
      </c>
      <c r="AH64" s="161" t="n">
        <v>39.7</v>
      </c>
      <c r="AI64" s="162" t="n">
        <v>29.8</v>
      </c>
      <c r="AJ64" s="160" t="n">
        <v>49.2</v>
      </c>
      <c r="AK64" s="161" t="n">
        <v>63.7</v>
      </c>
      <c r="AL64" s="162" t="n">
        <v>53.8</v>
      </c>
      <c r="AM64" s="160" t="n">
        <v>98.59999999999999</v>
      </c>
      <c r="AN64" s="161" t="n">
        <v>111.7</v>
      </c>
      <c r="AO64" s="162" t="n">
        <v>101.8</v>
      </c>
      <c r="AP64" s="146" t="n"/>
      <c r="AQ64" s="160" t="n">
        <v>103.3</v>
      </c>
      <c r="AR64" s="162" t="n">
        <v>104</v>
      </c>
      <c r="AS64" s="160" t="n">
        <v>133.1</v>
      </c>
      <c r="AT64" s="162" t="n">
        <v>134.2</v>
      </c>
      <c r="AU64" s="160" t="n">
        <v>192.6</v>
      </c>
      <c r="AV64" s="162" t="n">
        <v>194.6</v>
      </c>
      <c r="AW64" s="147" t="n"/>
    </row>
    <row r="65">
      <c r="A65" s="150" t="n"/>
      <c r="B65" s="159" t="n">
        <v>2065</v>
      </c>
      <c r="C65" s="160" t="n">
        <v>19.1</v>
      </c>
      <c r="D65" s="161" t="n">
        <v>11.59</v>
      </c>
      <c r="E65" s="162" t="n">
        <v>10.26</v>
      </c>
      <c r="F65" s="160" t="n">
        <v>20.3</v>
      </c>
      <c r="G65" s="161" t="n">
        <v>12.11</v>
      </c>
      <c r="H65" s="162" t="n">
        <v>11.4</v>
      </c>
      <c r="I65" s="160" t="n">
        <v>21.56</v>
      </c>
      <c r="J65" s="161" t="n">
        <v>13.05</v>
      </c>
      <c r="K65" s="162" t="n">
        <v>13.04</v>
      </c>
      <c r="L65" s="146" t="n"/>
      <c r="M65" s="160" t="n">
        <v>3.78</v>
      </c>
      <c r="N65" s="161" t="n">
        <v>2.11</v>
      </c>
      <c r="O65" s="162" t="n">
        <v>1.18</v>
      </c>
      <c r="P65" s="160" t="n">
        <v>5.52</v>
      </c>
      <c r="Q65" s="161" t="n">
        <v>3.81</v>
      </c>
      <c r="R65" s="162" t="n">
        <v>2.89</v>
      </c>
      <c r="S65" s="160" t="n">
        <v>8.6</v>
      </c>
      <c r="T65" s="161" t="n">
        <v>6.82</v>
      </c>
      <c r="U65" s="162" t="n">
        <v>5.93</v>
      </c>
      <c r="V65" s="146" t="n"/>
      <c r="W65" s="160" t="n">
        <v>7.63</v>
      </c>
      <c r="X65" s="161" t="n">
        <v>2.5</v>
      </c>
      <c r="Y65" s="162" t="n">
        <v>1.77</v>
      </c>
      <c r="Z65" s="160" t="n">
        <v>8.44</v>
      </c>
      <c r="AA65" s="161" t="n">
        <v>3.13</v>
      </c>
      <c r="AB65" s="162" t="n">
        <v>2.39</v>
      </c>
      <c r="AC65" s="160" t="n">
        <v>8.44</v>
      </c>
      <c r="AD65" s="161" t="n">
        <v>3.13</v>
      </c>
      <c r="AE65" s="162" t="n">
        <v>2.39</v>
      </c>
      <c r="AF65" s="146" t="n"/>
      <c r="AG65" s="160" t="n">
        <v>24.5</v>
      </c>
      <c r="AH65" s="161" t="n">
        <v>39.7</v>
      </c>
      <c r="AI65" s="162" t="n">
        <v>29.8</v>
      </c>
      <c r="AJ65" s="160" t="n">
        <v>49.2</v>
      </c>
      <c r="AK65" s="161" t="n">
        <v>63.7</v>
      </c>
      <c r="AL65" s="162" t="n">
        <v>53.8</v>
      </c>
      <c r="AM65" s="160" t="n">
        <v>98.59999999999999</v>
      </c>
      <c r="AN65" s="161" t="n">
        <v>111.7</v>
      </c>
      <c r="AO65" s="162" t="n">
        <v>101.8</v>
      </c>
      <c r="AP65" s="146" t="n"/>
      <c r="AQ65" s="160" t="n">
        <v>103.2</v>
      </c>
      <c r="AR65" s="162" t="n">
        <v>103.8</v>
      </c>
      <c r="AS65" s="160" t="n">
        <v>132.9</v>
      </c>
      <c r="AT65" s="162" t="n">
        <v>134</v>
      </c>
      <c r="AU65" s="160" t="n">
        <v>192.4</v>
      </c>
      <c r="AV65" s="162" t="n">
        <v>194.5</v>
      </c>
      <c r="AW65" s="147" t="n"/>
    </row>
    <row r="66">
      <c r="A66" s="150" t="n"/>
      <c r="B66" s="159" t="n">
        <v>2066</v>
      </c>
      <c r="C66" s="160" t="n">
        <v>19.1</v>
      </c>
      <c r="D66" s="161" t="n">
        <v>11.59</v>
      </c>
      <c r="E66" s="162" t="n">
        <v>10.26</v>
      </c>
      <c r="F66" s="160" t="n">
        <v>20.3</v>
      </c>
      <c r="G66" s="161" t="n">
        <v>12.11</v>
      </c>
      <c r="H66" s="162" t="n">
        <v>11.4</v>
      </c>
      <c r="I66" s="160" t="n">
        <v>21.56</v>
      </c>
      <c r="J66" s="161" t="n">
        <v>13.05</v>
      </c>
      <c r="K66" s="162" t="n">
        <v>13.04</v>
      </c>
      <c r="L66" s="146" t="n"/>
      <c r="M66" s="160" t="n">
        <v>3.78</v>
      </c>
      <c r="N66" s="161" t="n">
        <v>2.11</v>
      </c>
      <c r="O66" s="162" t="n">
        <v>1.18</v>
      </c>
      <c r="P66" s="160" t="n">
        <v>5.52</v>
      </c>
      <c r="Q66" s="161" t="n">
        <v>3.81</v>
      </c>
      <c r="R66" s="162" t="n">
        <v>2.89</v>
      </c>
      <c r="S66" s="160" t="n">
        <v>8.6</v>
      </c>
      <c r="T66" s="161" t="n">
        <v>6.82</v>
      </c>
      <c r="U66" s="162" t="n">
        <v>5.93</v>
      </c>
      <c r="V66" s="146" t="n"/>
      <c r="W66" s="160" t="n">
        <v>7.63</v>
      </c>
      <c r="X66" s="161" t="n">
        <v>2.5</v>
      </c>
      <c r="Y66" s="162" t="n">
        <v>1.77</v>
      </c>
      <c r="Z66" s="160" t="n">
        <v>8.44</v>
      </c>
      <c r="AA66" s="161" t="n">
        <v>3.12</v>
      </c>
      <c r="AB66" s="162" t="n">
        <v>2.39</v>
      </c>
      <c r="AC66" s="160" t="n">
        <v>8.44</v>
      </c>
      <c r="AD66" s="161" t="n">
        <v>3.12</v>
      </c>
      <c r="AE66" s="162" t="n">
        <v>2.39</v>
      </c>
      <c r="AF66" s="146" t="n"/>
      <c r="AG66" s="160" t="n">
        <v>24.5</v>
      </c>
      <c r="AH66" s="161" t="n">
        <v>39.6</v>
      </c>
      <c r="AI66" s="162" t="n">
        <v>29.7</v>
      </c>
      <c r="AJ66" s="160" t="n">
        <v>49.2</v>
      </c>
      <c r="AK66" s="161" t="n">
        <v>63.6</v>
      </c>
      <c r="AL66" s="162" t="n">
        <v>53.7</v>
      </c>
      <c r="AM66" s="160" t="n">
        <v>98.59999999999999</v>
      </c>
      <c r="AN66" s="161" t="n">
        <v>111.7</v>
      </c>
      <c r="AO66" s="162" t="n">
        <v>101.8</v>
      </c>
      <c r="AP66" s="146" t="n"/>
      <c r="AQ66" s="160" t="n">
        <v>103</v>
      </c>
      <c r="AR66" s="162" t="n">
        <v>103.6</v>
      </c>
      <c r="AS66" s="160" t="n">
        <v>132.7</v>
      </c>
      <c r="AT66" s="162" t="n">
        <v>133.9</v>
      </c>
      <c r="AU66" s="160" t="n">
        <v>192.2</v>
      </c>
      <c r="AV66" s="162" t="n">
        <v>194.3</v>
      </c>
      <c r="AW66" s="147" t="n"/>
    </row>
    <row r="67">
      <c r="A67" s="150" t="n"/>
      <c r="B67" s="159" t="n">
        <v>2067</v>
      </c>
      <c r="C67" s="160" t="n">
        <v>19.1</v>
      </c>
      <c r="D67" s="161" t="n">
        <v>11.59</v>
      </c>
      <c r="E67" s="162" t="n">
        <v>10.26</v>
      </c>
      <c r="F67" s="160" t="n">
        <v>20.3</v>
      </c>
      <c r="G67" s="161" t="n">
        <v>12.11</v>
      </c>
      <c r="H67" s="162" t="n">
        <v>11.4</v>
      </c>
      <c r="I67" s="160" t="n">
        <v>21.56</v>
      </c>
      <c r="J67" s="161" t="n">
        <v>13.05</v>
      </c>
      <c r="K67" s="162" t="n">
        <v>13.04</v>
      </c>
      <c r="L67" s="146" t="n"/>
      <c r="M67" s="160" t="n">
        <v>3.78</v>
      </c>
      <c r="N67" s="161" t="n">
        <v>2.11</v>
      </c>
      <c r="O67" s="162" t="n">
        <v>1.18</v>
      </c>
      <c r="P67" s="160" t="n">
        <v>5.52</v>
      </c>
      <c r="Q67" s="161" t="n">
        <v>3.81</v>
      </c>
      <c r="R67" s="162" t="n">
        <v>2.89</v>
      </c>
      <c r="S67" s="160" t="n">
        <v>8.6</v>
      </c>
      <c r="T67" s="161" t="n">
        <v>6.82</v>
      </c>
      <c r="U67" s="162" t="n">
        <v>5.93</v>
      </c>
      <c r="V67" s="146" t="n"/>
      <c r="W67" s="160" t="n">
        <v>7.63</v>
      </c>
      <c r="X67" s="161" t="n">
        <v>2.5</v>
      </c>
      <c r="Y67" s="162" t="n">
        <v>1.77</v>
      </c>
      <c r="Z67" s="160" t="n">
        <v>8.44</v>
      </c>
      <c r="AA67" s="161" t="n">
        <v>3.12</v>
      </c>
      <c r="AB67" s="162" t="n">
        <v>2.39</v>
      </c>
      <c r="AC67" s="160" t="n">
        <v>8.44</v>
      </c>
      <c r="AD67" s="161" t="n">
        <v>3.12</v>
      </c>
      <c r="AE67" s="162" t="n">
        <v>2.39</v>
      </c>
      <c r="AF67" s="146" t="n"/>
      <c r="AG67" s="160" t="n">
        <v>24.5</v>
      </c>
      <c r="AH67" s="161" t="n">
        <v>39.6</v>
      </c>
      <c r="AI67" s="162" t="n">
        <v>29.7</v>
      </c>
      <c r="AJ67" s="160" t="n">
        <v>49.2</v>
      </c>
      <c r="AK67" s="161" t="n">
        <v>63.6</v>
      </c>
      <c r="AL67" s="162" t="n">
        <v>53.7</v>
      </c>
      <c r="AM67" s="160" t="n">
        <v>98.59999999999999</v>
      </c>
      <c r="AN67" s="161" t="n">
        <v>111.7</v>
      </c>
      <c r="AO67" s="162" t="n">
        <v>101.8</v>
      </c>
      <c r="AP67" s="146" t="n"/>
      <c r="AQ67" s="160" t="n">
        <v>102.8</v>
      </c>
      <c r="AR67" s="162" t="n">
        <v>103.5</v>
      </c>
      <c r="AS67" s="160" t="n">
        <v>132.6</v>
      </c>
      <c r="AT67" s="162" t="n">
        <v>133.7</v>
      </c>
      <c r="AU67" s="160" t="n">
        <v>192.1</v>
      </c>
      <c r="AV67" s="162" t="n">
        <v>194.1</v>
      </c>
      <c r="AW67" s="147" t="n"/>
    </row>
    <row r="68">
      <c r="A68" s="150" t="n"/>
      <c r="B68" s="159" t="n">
        <v>2068</v>
      </c>
      <c r="C68" s="160" t="n">
        <v>19.1</v>
      </c>
      <c r="D68" s="161" t="n">
        <v>11.59</v>
      </c>
      <c r="E68" s="162" t="n">
        <v>10.26</v>
      </c>
      <c r="F68" s="160" t="n">
        <v>20.3</v>
      </c>
      <c r="G68" s="161" t="n">
        <v>12.11</v>
      </c>
      <c r="H68" s="162" t="n">
        <v>11.4</v>
      </c>
      <c r="I68" s="160" t="n">
        <v>21.56</v>
      </c>
      <c r="J68" s="161" t="n">
        <v>13.05</v>
      </c>
      <c r="K68" s="162" t="n">
        <v>13.04</v>
      </c>
      <c r="L68" s="146" t="n"/>
      <c r="M68" s="160" t="n">
        <v>3.78</v>
      </c>
      <c r="N68" s="161" t="n">
        <v>2.11</v>
      </c>
      <c r="O68" s="162" t="n">
        <v>1.18</v>
      </c>
      <c r="P68" s="160" t="n">
        <v>5.52</v>
      </c>
      <c r="Q68" s="161" t="n">
        <v>3.81</v>
      </c>
      <c r="R68" s="162" t="n">
        <v>2.89</v>
      </c>
      <c r="S68" s="160" t="n">
        <v>8.6</v>
      </c>
      <c r="T68" s="161" t="n">
        <v>6.82</v>
      </c>
      <c r="U68" s="162" t="n">
        <v>5.93</v>
      </c>
      <c r="V68" s="146" t="n"/>
      <c r="W68" s="160" t="n">
        <v>7.63</v>
      </c>
      <c r="X68" s="161" t="n">
        <v>2.5</v>
      </c>
      <c r="Y68" s="162" t="n">
        <v>1.77</v>
      </c>
      <c r="Z68" s="160" t="n">
        <v>8.44</v>
      </c>
      <c r="AA68" s="161" t="n">
        <v>3.12</v>
      </c>
      <c r="AB68" s="162" t="n">
        <v>2.39</v>
      </c>
      <c r="AC68" s="160" t="n">
        <v>8.44</v>
      </c>
      <c r="AD68" s="161" t="n">
        <v>3.12</v>
      </c>
      <c r="AE68" s="162" t="n">
        <v>2.39</v>
      </c>
      <c r="AF68" s="146" t="n"/>
      <c r="AG68" s="160" t="n">
        <v>24.5</v>
      </c>
      <c r="AH68" s="161" t="n">
        <v>39.6</v>
      </c>
      <c r="AI68" s="162" t="n">
        <v>29.7</v>
      </c>
      <c r="AJ68" s="160" t="n">
        <v>49.2</v>
      </c>
      <c r="AK68" s="161" t="n">
        <v>63.6</v>
      </c>
      <c r="AL68" s="162" t="n">
        <v>53.7</v>
      </c>
      <c r="AM68" s="160" t="n">
        <v>98.59999999999999</v>
      </c>
      <c r="AN68" s="161" t="n">
        <v>111.6</v>
      </c>
      <c r="AO68" s="162" t="n">
        <v>101.7</v>
      </c>
      <c r="AP68" s="146" t="n"/>
      <c r="AQ68" s="160" t="n">
        <v>102.6</v>
      </c>
      <c r="AR68" s="162" t="n">
        <v>103.3</v>
      </c>
      <c r="AS68" s="160" t="n">
        <v>132.4</v>
      </c>
      <c r="AT68" s="162" t="n">
        <v>133.5</v>
      </c>
      <c r="AU68" s="160" t="n">
        <v>191.9</v>
      </c>
      <c r="AV68" s="162" t="n">
        <v>193.9</v>
      </c>
      <c r="AW68" s="147" t="n"/>
    </row>
    <row r="69">
      <c r="A69" s="150" t="n"/>
      <c r="B69" s="159" t="n">
        <v>2069</v>
      </c>
      <c r="C69" s="160" t="n">
        <v>19.1</v>
      </c>
      <c r="D69" s="161" t="n">
        <v>11.59</v>
      </c>
      <c r="E69" s="162" t="n">
        <v>10.26</v>
      </c>
      <c r="F69" s="160" t="n">
        <v>20.3</v>
      </c>
      <c r="G69" s="161" t="n">
        <v>12.11</v>
      </c>
      <c r="H69" s="162" t="n">
        <v>11.4</v>
      </c>
      <c r="I69" s="160" t="n">
        <v>21.56</v>
      </c>
      <c r="J69" s="161" t="n">
        <v>13.05</v>
      </c>
      <c r="K69" s="162" t="n">
        <v>13.04</v>
      </c>
      <c r="L69" s="146" t="n"/>
      <c r="M69" s="160" t="n">
        <v>3.78</v>
      </c>
      <c r="N69" s="161" t="n">
        <v>2.11</v>
      </c>
      <c r="O69" s="162" t="n">
        <v>1.18</v>
      </c>
      <c r="P69" s="160" t="n">
        <v>5.52</v>
      </c>
      <c r="Q69" s="161" t="n">
        <v>3.81</v>
      </c>
      <c r="R69" s="162" t="n">
        <v>2.89</v>
      </c>
      <c r="S69" s="160" t="n">
        <v>8.6</v>
      </c>
      <c r="T69" s="161" t="n">
        <v>6.82</v>
      </c>
      <c r="U69" s="162" t="n">
        <v>5.93</v>
      </c>
      <c r="V69" s="146" t="n"/>
      <c r="W69" s="160" t="n">
        <v>7.63</v>
      </c>
      <c r="X69" s="161" t="n">
        <v>2.49</v>
      </c>
      <c r="Y69" s="162" t="n">
        <v>1.77</v>
      </c>
      <c r="Z69" s="160" t="n">
        <v>8.44</v>
      </c>
      <c r="AA69" s="161" t="n">
        <v>3.12</v>
      </c>
      <c r="AB69" s="162" t="n">
        <v>2.39</v>
      </c>
      <c r="AC69" s="160" t="n">
        <v>8.44</v>
      </c>
      <c r="AD69" s="161" t="n">
        <v>3.12</v>
      </c>
      <c r="AE69" s="162" t="n">
        <v>2.39</v>
      </c>
      <c r="AF69" s="146" t="n"/>
      <c r="AG69" s="160" t="n">
        <v>24.5</v>
      </c>
      <c r="AH69" s="161" t="n">
        <v>39.6</v>
      </c>
      <c r="AI69" s="162" t="n">
        <v>29.6</v>
      </c>
      <c r="AJ69" s="160" t="n">
        <v>49.2</v>
      </c>
      <c r="AK69" s="161" t="n">
        <v>63.6</v>
      </c>
      <c r="AL69" s="162" t="n">
        <v>53.7</v>
      </c>
      <c r="AM69" s="160" t="n">
        <v>98.59999999999999</v>
      </c>
      <c r="AN69" s="161" t="n">
        <v>111.6</v>
      </c>
      <c r="AO69" s="162" t="n">
        <v>101.7</v>
      </c>
      <c r="AP69" s="146" t="n"/>
      <c r="AQ69" s="160" t="n">
        <v>102.4</v>
      </c>
      <c r="AR69" s="162" t="n">
        <v>103.1</v>
      </c>
      <c r="AS69" s="160" t="n">
        <v>132.2</v>
      </c>
      <c r="AT69" s="162" t="n">
        <v>133.3</v>
      </c>
      <c r="AU69" s="160" t="n">
        <v>191.7</v>
      </c>
      <c r="AV69" s="162" t="n">
        <v>193.7</v>
      </c>
      <c r="AW69" s="147" t="n"/>
    </row>
    <row r="70">
      <c r="A70" s="150" t="n"/>
      <c r="B70" s="159" t="n">
        <v>2070</v>
      </c>
      <c r="C70" s="160" t="n">
        <v>19.1</v>
      </c>
      <c r="D70" s="161" t="n">
        <v>11.59</v>
      </c>
      <c r="E70" s="162" t="n">
        <v>10.26</v>
      </c>
      <c r="F70" s="160" t="n">
        <v>20.3</v>
      </c>
      <c r="G70" s="161" t="n">
        <v>12.11</v>
      </c>
      <c r="H70" s="162" t="n">
        <v>11.4</v>
      </c>
      <c r="I70" s="160" t="n">
        <v>21.56</v>
      </c>
      <c r="J70" s="161" t="n">
        <v>13.05</v>
      </c>
      <c r="K70" s="162" t="n">
        <v>13.04</v>
      </c>
      <c r="L70" s="146" t="n"/>
      <c r="M70" s="160" t="n">
        <v>3.78</v>
      </c>
      <c r="N70" s="161" t="n">
        <v>2.11</v>
      </c>
      <c r="O70" s="162" t="n">
        <v>1.18</v>
      </c>
      <c r="P70" s="160" t="n">
        <v>5.52</v>
      </c>
      <c r="Q70" s="161" t="n">
        <v>3.81</v>
      </c>
      <c r="R70" s="162" t="n">
        <v>2.89</v>
      </c>
      <c r="S70" s="160" t="n">
        <v>8.6</v>
      </c>
      <c r="T70" s="161" t="n">
        <v>6.82</v>
      </c>
      <c r="U70" s="162" t="n">
        <v>5.93</v>
      </c>
      <c r="V70" s="146" t="n"/>
      <c r="W70" s="160" t="n">
        <v>7.63</v>
      </c>
      <c r="X70" s="161" t="n">
        <v>2.49</v>
      </c>
      <c r="Y70" s="162" t="n">
        <v>1.77</v>
      </c>
      <c r="Z70" s="160" t="n">
        <v>8.44</v>
      </c>
      <c r="AA70" s="161" t="n">
        <v>3.11</v>
      </c>
      <c r="AB70" s="162" t="n">
        <v>2.39</v>
      </c>
      <c r="AC70" s="160" t="n">
        <v>8.44</v>
      </c>
      <c r="AD70" s="161" t="n">
        <v>3.11</v>
      </c>
      <c r="AE70" s="162" t="n">
        <v>2.39</v>
      </c>
      <c r="AF70" s="146" t="n"/>
      <c r="AG70" s="160" t="n">
        <v>24.5</v>
      </c>
      <c r="AH70" s="161" t="n">
        <v>39.5</v>
      </c>
      <c r="AI70" s="162" t="n">
        <v>29.6</v>
      </c>
      <c r="AJ70" s="160" t="n">
        <v>49.2</v>
      </c>
      <c r="AK70" s="161" t="n">
        <v>63.5</v>
      </c>
      <c r="AL70" s="162" t="n">
        <v>53.6</v>
      </c>
      <c r="AM70" s="160" t="n">
        <v>98.59999999999999</v>
      </c>
      <c r="AN70" s="161" t="n">
        <v>111.6</v>
      </c>
      <c r="AO70" s="162" t="n">
        <v>101.7</v>
      </c>
      <c r="AP70" s="146" t="n"/>
      <c r="AQ70" s="160" t="n">
        <v>102.2</v>
      </c>
      <c r="AR70" s="162" t="n">
        <v>102.9</v>
      </c>
      <c r="AS70" s="160" t="n">
        <v>132</v>
      </c>
      <c r="AT70" s="162" t="n">
        <v>133.1</v>
      </c>
      <c r="AU70" s="160" t="n">
        <v>191.5</v>
      </c>
      <c r="AV70" s="162" t="n">
        <v>193.5</v>
      </c>
      <c r="AW70" s="147" t="n"/>
    </row>
    <row r="71">
      <c r="A71" s="150" t="n"/>
      <c r="B71" s="159" t="n">
        <v>2071</v>
      </c>
      <c r="C71" s="160" t="n">
        <v>19.1</v>
      </c>
      <c r="D71" s="161" t="n">
        <v>11.59</v>
      </c>
      <c r="E71" s="162" t="n">
        <v>10.26</v>
      </c>
      <c r="F71" s="160" t="n">
        <v>20.3</v>
      </c>
      <c r="G71" s="161" t="n">
        <v>12.11</v>
      </c>
      <c r="H71" s="162" t="n">
        <v>11.4</v>
      </c>
      <c r="I71" s="160" t="n">
        <v>21.56</v>
      </c>
      <c r="J71" s="161" t="n">
        <v>13.05</v>
      </c>
      <c r="K71" s="162" t="n">
        <v>13.04</v>
      </c>
      <c r="L71" s="146" t="n"/>
      <c r="M71" s="160" t="n">
        <v>3.78</v>
      </c>
      <c r="N71" s="161" t="n">
        <v>2.11</v>
      </c>
      <c r="O71" s="162" t="n">
        <v>1.18</v>
      </c>
      <c r="P71" s="160" t="n">
        <v>5.52</v>
      </c>
      <c r="Q71" s="161" t="n">
        <v>3.81</v>
      </c>
      <c r="R71" s="162" t="n">
        <v>2.89</v>
      </c>
      <c r="S71" s="160" t="n">
        <v>8.6</v>
      </c>
      <c r="T71" s="161" t="n">
        <v>6.82</v>
      </c>
      <c r="U71" s="162" t="n">
        <v>5.93</v>
      </c>
      <c r="V71" s="146" t="n"/>
      <c r="W71" s="160" t="n">
        <v>7.63</v>
      </c>
      <c r="X71" s="161" t="n">
        <v>2.49</v>
      </c>
      <c r="Y71" s="162" t="n">
        <v>1.77</v>
      </c>
      <c r="Z71" s="160" t="n">
        <v>8.44</v>
      </c>
      <c r="AA71" s="161" t="n">
        <v>3.11</v>
      </c>
      <c r="AB71" s="162" t="n">
        <v>2.39</v>
      </c>
      <c r="AC71" s="160" t="n">
        <v>8.44</v>
      </c>
      <c r="AD71" s="161" t="n">
        <v>3.11</v>
      </c>
      <c r="AE71" s="162" t="n">
        <v>2.39</v>
      </c>
      <c r="AF71" s="146" t="n"/>
      <c r="AG71" s="160" t="n">
        <v>24.5</v>
      </c>
      <c r="AH71" s="161" t="n">
        <v>39.5</v>
      </c>
      <c r="AI71" s="162" t="n">
        <v>29.6</v>
      </c>
      <c r="AJ71" s="160" t="n">
        <v>49.2</v>
      </c>
      <c r="AK71" s="161" t="n">
        <v>63.5</v>
      </c>
      <c r="AL71" s="162" t="n">
        <v>53.6</v>
      </c>
      <c r="AM71" s="160" t="n">
        <v>98.59999999999999</v>
      </c>
      <c r="AN71" s="161" t="n">
        <v>111.5</v>
      </c>
      <c r="AO71" s="162" t="n">
        <v>101.6</v>
      </c>
      <c r="AP71" s="146" t="n"/>
      <c r="AQ71" s="160" t="n">
        <v>102.1</v>
      </c>
      <c r="AR71" s="162" t="n">
        <v>102.7</v>
      </c>
      <c r="AS71" s="160" t="n">
        <v>131.8</v>
      </c>
      <c r="AT71" s="162" t="n">
        <v>132.9</v>
      </c>
      <c r="AU71" s="160" t="n">
        <v>191.3</v>
      </c>
      <c r="AV71" s="162" t="n">
        <v>193.4</v>
      </c>
      <c r="AW71" s="147" t="n"/>
    </row>
    <row r="72">
      <c r="A72" s="150" t="n"/>
      <c r="B72" s="159" t="n">
        <v>2072</v>
      </c>
      <c r="C72" s="160" t="n">
        <v>19.1</v>
      </c>
      <c r="D72" s="161" t="n">
        <v>11.59</v>
      </c>
      <c r="E72" s="162" t="n">
        <v>10.26</v>
      </c>
      <c r="F72" s="160" t="n">
        <v>20.3</v>
      </c>
      <c r="G72" s="161" t="n">
        <v>12.11</v>
      </c>
      <c r="H72" s="162" t="n">
        <v>11.4</v>
      </c>
      <c r="I72" s="160" t="n">
        <v>21.56</v>
      </c>
      <c r="J72" s="161" t="n">
        <v>13.05</v>
      </c>
      <c r="K72" s="162" t="n">
        <v>13.04</v>
      </c>
      <c r="L72" s="146" t="n"/>
      <c r="M72" s="160" t="n">
        <v>3.78</v>
      </c>
      <c r="N72" s="161" t="n">
        <v>2.11</v>
      </c>
      <c r="O72" s="162" t="n">
        <v>1.18</v>
      </c>
      <c r="P72" s="160" t="n">
        <v>5.52</v>
      </c>
      <c r="Q72" s="161" t="n">
        <v>3.81</v>
      </c>
      <c r="R72" s="162" t="n">
        <v>2.89</v>
      </c>
      <c r="S72" s="160" t="n">
        <v>8.6</v>
      </c>
      <c r="T72" s="161" t="n">
        <v>6.82</v>
      </c>
      <c r="U72" s="162" t="n">
        <v>5.93</v>
      </c>
      <c r="V72" s="146" t="n"/>
      <c r="W72" s="160" t="n">
        <v>7.63</v>
      </c>
      <c r="X72" s="161" t="n">
        <v>2.49</v>
      </c>
      <c r="Y72" s="162" t="n">
        <v>1.77</v>
      </c>
      <c r="Z72" s="160" t="n">
        <v>8.44</v>
      </c>
      <c r="AA72" s="161" t="n">
        <v>3.11</v>
      </c>
      <c r="AB72" s="162" t="n">
        <v>2.39</v>
      </c>
      <c r="AC72" s="160" t="n">
        <v>8.44</v>
      </c>
      <c r="AD72" s="161" t="n">
        <v>3.11</v>
      </c>
      <c r="AE72" s="162" t="n">
        <v>2.39</v>
      </c>
      <c r="AF72" s="146" t="n"/>
      <c r="AG72" s="160" t="n">
        <v>24.5</v>
      </c>
      <c r="AH72" s="161" t="n">
        <v>39.5</v>
      </c>
      <c r="AI72" s="162" t="n">
        <v>29.6</v>
      </c>
      <c r="AJ72" s="160" t="n">
        <v>49.2</v>
      </c>
      <c r="AK72" s="161" t="n">
        <v>63.5</v>
      </c>
      <c r="AL72" s="162" t="n">
        <v>53.6</v>
      </c>
      <c r="AM72" s="160" t="n">
        <v>98.59999999999999</v>
      </c>
      <c r="AN72" s="161" t="n">
        <v>111.5</v>
      </c>
      <c r="AO72" s="162" t="n">
        <v>101.6</v>
      </c>
      <c r="AP72" s="146" t="n"/>
      <c r="AQ72" s="160" t="n">
        <v>101.9</v>
      </c>
      <c r="AR72" s="162" t="n">
        <v>102.5</v>
      </c>
      <c r="AS72" s="160" t="n">
        <v>131.6</v>
      </c>
      <c r="AT72" s="162" t="n">
        <v>132.8</v>
      </c>
      <c r="AU72" s="160" t="n">
        <v>191.2</v>
      </c>
      <c r="AV72" s="162" t="n">
        <v>193.2</v>
      </c>
      <c r="AW72" s="147" t="n"/>
    </row>
    <row r="73">
      <c r="A73" s="150" t="n"/>
      <c r="B73" s="159" t="n">
        <v>2073</v>
      </c>
      <c r="C73" s="160" t="n">
        <v>19.1</v>
      </c>
      <c r="D73" s="161" t="n">
        <v>11.59</v>
      </c>
      <c r="E73" s="162" t="n">
        <v>10.26</v>
      </c>
      <c r="F73" s="160" t="n">
        <v>20.3</v>
      </c>
      <c r="G73" s="161" t="n">
        <v>12.11</v>
      </c>
      <c r="H73" s="162" t="n">
        <v>11.4</v>
      </c>
      <c r="I73" s="160" t="n">
        <v>21.56</v>
      </c>
      <c r="J73" s="161" t="n">
        <v>13.05</v>
      </c>
      <c r="K73" s="162" t="n">
        <v>13.04</v>
      </c>
      <c r="L73" s="146" t="n"/>
      <c r="M73" s="160" t="n">
        <v>3.78</v>
      </c>
      <c r="N73" s="161" t="n">
        <v>2.11</v>
      </c>
      <c r="O73" s="162" t="n">
        <v>1.18</v>
      </c>
      <c r="P73" s="160" t="n">
        <v>5.52</v>
      </c>
      <c r="Q73" s="161" t="n">
        <v>3.81</v>
      </c>
      <c r="R73" s="162" t="n">
        <v>2.89</v>
      </c>
      <c r="S73" s="160" t="n">
        <v>8.6</v>
      </c>
      <c r="T73" s="161" t="n">
        <v>6.82</v>
      </c>
      <c r="U73" s="162" t="n">
        <v>5.93</v>
      </c>
      <c r="V73" s="146" t="n"/>
      <c r="W73" s="160" t="n">
        <v>7.63</v>
      </c>
      <c r="X73" s="161" t="n">
        <v>2.48</v>
      </c>
      <c r="Y73" s="162" t="n">
        <v>1.76</v>
      </c>
      <c r="Z73" s="160" t="n">
        <v>8.44</v>
      </c>
      <c r="AA73" s="161" t="n">
        <v>3.1</v>
      </c>
      <c r="AB73" s="162" t="n">
        <v>2.39</v>
      </c>
      <c r="AC73" s="160" t="n">
        <v>8.44</v>
      </c>
      <c r="AD73" s="161" t="n">
        <v>3.1</v>
      </c>
      <c r="AE73" s="162" t="n">
        <v>2.39</v>
      </c>
      <c r="AF73" s="146" t="n"/>
      <c r="AG73" s="160" t="n">
        <v>24.5</v>
      </c>
      <c r="AH73" s="161" t="n">
        <v>39.4</v>
      </c>
      <c r="AI73" s="162" t="n">
        <v>29.5</v>
      </c>
      <c r="AJ73" s="160" t="n">
        <v>49.2</v>
      </c>
      <c r="AK73" s="161" t="n">
        <v>63.5</v>
      </c>
      <c r="AL73" s="162" t="n">
        <v>53.6</v>
      </c>
      <c r="AM73" s="160" t="n">
        <v>98.59999999999999</v>
      </c>
      <c r="AN73" s="161" t="n">
        <v>111.5</v>
      </c>
      <c r="AO73" s="162" t="n">
        <v>101.6</v>
      </c>
      <c r="AP73" s="146" t="n"/>
      <c r="AQ73" s="160" t="n">
        <v>101.7</v>
      </c>
      <c r="AR73" s="162" t="n">
        <v>102.4</v>
      </c>
      <c r="AS73" s="160" t="n">
        <v>131.5</v>
      </c>
      <c r="AT73" s="162" t="n">
        <v>132.6</v>
      </c>
      <c r="AU73" s="160" t="n">
        <v>191</v>
      </c>
      <c r="AV73" s="162" t="n">
        <v>193</v>
      </c>
      <c r="AW73" s="147" t="n"/>
    </row>
    <row r="74">
      <c r="A74" s="150" t="n"/>
      <c r="B74" s="159" t="n">
        <v>2074</v>
      </c>
      <c r="C74" s="160" t="n">
        <v>19.1</v>
      </c>
      <c r="D74" s="161" t="n">
        <v>11.59</v>
      </c>
      <c r="E74" s="162" t="n">
        <v>10.26</v>
      </c>
      <c r="F74" s="160" t="n">
        <v>20.3</v>
      </c>
      <c r="G74" s="161" t="n">
        <v>12.11</v>
      </c>
      <c r="H74" s="162" t="n">
        <v>11.4</v>
      </c>
      <c r="I74" s="160" t="n">
        <v>21.56</v>
      </c>
      <c r="J74" s="161" t="n">
        <v>13.05</v>
      </c>
      <c r="K74" s="162" t="n">
        <v>13.04</v>
      </c>
      <c r="L74" s="146" t="n"/>
      <c r="M74" s="160" t="n">
        <v>3.78</v>
      </c>
      <c r="N74" s="161" t="n">
        <v>2.11</v>
      </c>
      <c r="O74" s="162" t="n">
        <v>1.18</v>
      </c>
      <c r="P74" s="160" t="n">
        <v>5.52</v>
      </c>
      <c r="Q74" s="161" t="n">
        <v>3.81</v>
      </c>
      <c r="R74" s="162" t="n">
        <v>2.89</v>
      </c>
      <c r="S74" s="160" t="n">
        <v>8.6</v>
      </c>
      <c r="T74" s="161" t="n">
        <v>6.82</v>
      </c>
      <c r="U74" s="162" t="n">
        <v>5.93</v>
      </c>
      <c r="V74" s="146" t="n"/>
      <c r="W74" s="160" t="n">
        <v>7.63</v>
      </c>
      <c r="X74" s="161" t="n">
        <v>2.48</v>
      </c>
      <c r="Y74" s="162" t="n">
        <v>1.76</v>
      </c>
      <c r="Z74" s="160" t="n">
        <v>8.44</v>
      </c>
      <c r="AA74" s="161" t="n">
        <v>3.1</v>
      </c>
      <c r="AB74" s="162" t="n">
        <v>2.38</v>
      </c>
      <c r="AC74" s="160" t="n">
        <v>8.44</v>
      </c>
      <c r="AD74" s="161" t="n">
        <v>3.1</v>
      </c>
      <c r="AE74" s="162" t="n">
        <v>2.38</v>
      </c>
      <c r="AF74" s="146" t="n"/>
      <c r="AG74" s="160" t="n">
        <v>24.5</v>
      </c>
      <c r="AH74" s="161" t="n">
        <v>39.4</v>
      </c>
      <c r="AI74" s="162" t="n">
        <v>29.5</v>
      </c>
      <c r="AJ74" s="160" t="n">
        <v>49.2</v>
      </c>
      <c r="AK74" s="161" t="n">
        <v>63.4</v>
      </c>
      <c r="AL74" s="162" t="n">
        <v>53.5</v>
      </c>
      <c r="AM74" s="160" t="n">
        <v>98.59999999999999</v>
      </c>
      <c r="AN74" s="161" t="n">
        <v>111.5</v>
      </c>
      <c r="AO74" s="162" t="n">
        <v>101.6</v>
      </c>
      <c r="AP74" s="146" t="n"/>
      <c r="AQ74" s="160" t="n">
        <v>101.5</v>
      </c>
      <c r="AR74" s="162" t="n">
        <v>102.2</v>
      </c>
      <c r="AS74" s="160" t="n">
        <v>131.3</v>
      </c>
      <c r="AT74" s="162" t="n">
        <v>132.4</v>
      </c>
      <c r="AU74" s="160" t="n">
        <v>190.8</v>
      </c>
      <c r="AV74" s="162" t="n">
        <v>192.8</v>
      </c>
      <c r="AW74" s="147" t="n"/>
    </row>
    <row r="75">
      <c r="A75" s="150" t="n"/>
      <c r="B75" s="159" t="n">
        <v>2075</v>
      </c>
      <c r="C75" s="160" t="n">
        <v>19.1</v>
      </c>
      <c r="D75" s="161" t="n">
        <v>11.59</v>
      </c>
      <c r="E75" s="162" t="n">
        <v>10.26</v>
      </c>
      <c r="F75" s="160" t="n">
        <v>20.3</v>
      </c>
      <c r="G75" s="161" t="n">
        <v>12.11</v>
      </c>
      <c r="H75" s="162" t="n">
        <v>11.4</v>
      </c>
      <c r="I75" s="160" t="n">
        <v>21.56</v>
      </c>
      <c r="J75" s="161" t="n">
        <v>13.05</v>
      </c>
      <c r="K75" s="162" t="n">
        <v>13.04</v>
      </c>
      <c r="L75" s="146" t="n"/>
      <c r="M75" s="160" t="n">
        <v>3.78</v>
      </c>
      <c r="N75" s="161" t="n">
        <v>2.11</v>
      </c>
      <c r="O75" s="162" t="n">
        <v>1.18</v>
      </c>
      <c r="P75" s="160" t="n">
        <v>5.52</v>
      </c>
      <c r="Q75" s="161" t="n">
        <v>3.81</v>
      </c>
      <c r="R75" s="162" t="n">
        <v>2.89</v>
      </c>
      <c r="S75" s="160" t="n">
        <v>8.6</v>
      </c>
      <c r="T75" s="161" t="n">
        <v>6.82</v>
      </c>
      <c r="U75" s="162" t="n">
        <v>5.93</v>
      </c>
      <c r="V75" s="146" t="n"/>
      <c r="W75" s="160" t="n">
        <v>7.63</v>
      </c>
      <c r="X75" s="161" t="n">
        <v>2.48</v>
      </c>
      <c r="Y75" s="162" t="n">
        <v>1.76</v>
      </c>
      <c r="Z75" s="160" t="n">
        <v>8.44</v>
      </c>
      <c r="AA75" s="161" t="n">
        <v>3.1</v>
      </c>
      <c r="AB75" s="162" t="n">
        <v>2.38</v>
      </c>
      <c r="AC75" s="160" t="n">
        <v>8.44</v>
      </c>
      <c r="AD75" s="161" t="n">
        <v>3.1</v>
      </c>
      <c r="AE75" s="162" t="n">
        <v>2.38</v>
      </c>
      <c r="AF75" s="146" t="n"/>
      <c r="AG75" s="160" t="n">
        <v>24.5</v>
      </c>
      <c r="AH75" s="161" t="n">
        <v>39.4</v>
      </c>
      <c r="AI75" s="162" t="n">
        <v>29.5</v>
      </c>
      <c r="AJ75" s="160" t="n">
        <v>49.2</v>
      </c>
      <c r="AK75" s="161" t="n">
        <v>63.4</v>
      </c>
      <c r="AL75" s="162" t="n">
        <v>53.5</v>
      </c>
      <c r="AM75" s="160" t="n">
        <v>98.59999999999999</v>
      </c>
      <c r="AN75" s="161" t="n">
        <v>111.4</v>
      </c>
      <c r="AO75" s="162" t="n">
        <v>101.5</v>
      </c>
      <c r="AP75" s="146" t="n"/>
      <c r="AQ75" s="160" t="n">
        <v>101.3</v>
      </c>
      <c r="AR75" s="162" t="n">
        <v>102</v>
      </c>
      <c r="AS75" s="160" t="n">
        <v>131.1</v>
      </c>
      <c r="AT75" s="162" t="n">
        <v>132.2</v>
      </c>
      <c r="AU75" s="160" t="n">
        <v>190.6</v>
      </c>
      <c r="AV75" s="162" t="n">
        <v>192.6</v>
      </c>
      <c r="AW75" s="147" t="n"/>
    </row>
    <row r="76">
      <c r="A76" s="150" t="n"/>
      <c r="B76" s="159" t="n">
        <v>2076</v>
      </c>
      <c r="C76" s="160" t="n">
        <v>19.1</v>
      </c>
      <c r="D76" s="161" t="n">
        <v>11.59</v>
      </c>
      <c r="E76" s="162" t="n">
        <v>10.26</v>
      </c>
      <c r="F76" s="160" t="n">
        <v>20.3</v>
      </c>
      <c r="G76" s="161" t="n">
        <v>12.11</v>
      </c>
      <c r="H76" s="162" t="n">
        <v>11.4</v>
      </c>
      <c r="I76" s="160" t="n">
        <v>21.56</v>
      </c>
      <c r="J76" s="161" t="n">
        <v>13.05</v>
      </c>
      <c r="K76" s="162" t="n">
        <v>13.04</v>
      </c>
      <c r="L76" s="146" t="n"/>
      <c r="M76" s="160" t="n">
        <v>3.78</v>
      </c>
      <c r="N76" s="161" t="n">
        <v>2.11</v>
      </c>
      <c r="O76" s="162" t="n">
        <v>1.18</v>
      </c>
      <c r="P76" s="160" t="n">
        <v>5.52</v>
      </c>
      <c r="Q76" s="161" t="n">
        <v>3.81</v>
      </c>
      <c r="R76" s="162" t="n">
        <v>2.89</v>
      </c>
      <c r="S76" s="160" t="n">
        <v>8.6</v>
      </c>
      <c r="T76" s="161" t="n">
        <v>6.82</v>
      </c>
      <c r="U76" s="162" t="n">
        <v>5.93</v>
      </c>
      <c r="V76" s="146" t="n"/>
      <c r="W76" s="160" t="n">
        <v>7.63</v>
      </c>
      <c r="X76" s="161" t="n">
        <v>2.48</v>
      </c>
      <c r="Y76" s="162" t="n">
        <v>1.76</v>
      </c>
      <c r="Z76" s="160" t="n">
        <v>8.44</v>
      </c>
      <c r="AA76" s="161" t="n">
        <v>3.1</v>
      </c>
      <c r="AB76" s="162" t="n">
        <v>2.38</v>
      </c>
      <c r="AC76" s="160" t="n">
        <v>8.44</v>
      </c>
      <c r="AD76" s="161" t="n">
        <v>3.1</v>
      </c>
      <c r="AE76" s="162" t="n">
        <v>2.38</v>
      </c>
      <c r="AF76" s="146" t="n"/>
      <c r="AG76" s="160" t="n">
        <v>24.5</v>
      </c>
      <c r="AH76" s="161" t="n">
        <v>39.4</v>
      </c>
      <c r="AI76" s="162" t="n">
        <v>29.5</v>
      </c>
      <c r="AJ76" s="160" t="n">
        <v>49.2</v>
      </c>
      <c r="AK76" s="161" t="n">
        <v>63.4</v>
      </c>
      <c r="AL76" s="162" t="n">
        <v>53.5</v>
      </c>
      <c r="AM76" s="160" t="n">
        <v>98.59999999999999</v>
      </c>
      <c r="AN76" s="161" t="n">
        <v>111.4</v>
      </c>
      <c r="AO76" s="162" t="n">
        <v>101.5</v>
      </c>
      <c r="AP76" s="146" t="n"/>
      <c r="AQ76" s="160" t="n">
        <v>101.2</v>
      </c>
      <c r="AR76" s="162" t="n">
        <v>101.8</v>
      </c>
      <c r="AS76" s="160" t="n">
        <v>130.9</v>
      </c>
      <c r="AT76" s="162" t="n">
        <v>132</v>
      </c>
      <c r="AU76" s="160" t="n">
        <v>190.4</v>
      </c>
      <c r="AV76" s="162" t="n">
        <v>192.5</v>
      </c>
      <c r="AW76" s="147" t="n"/>
    </row>
    <row r="77">
      <c r="A77" s="150" t="n"/>
      <c r="B77" s="159" t="n">
        <v>2077</v>
      </c>
      <c r="C77" s="160" t="n">
        <v>19.1</v>
      </c>
      <c r="D77" s="161" t="n">
        <v>11.59</v>
      </c>
      <c r="E77" s="162" t="n">
        <v>10.26</v>
      </c>
      <c r="F77" s="160" t="n">
        <v>20.3</v>
      </c>
      <c r="G77" s="161" t="n">
        <v>12.11</v>
      </c>
      <c r="H77" s="162" t="n">
        <v>11.4</v>
      </c>
      <c r="I77" s="160" t="n">
        <v>21.56</v>
      </c>
      <c r="J77" s="161" t="n">
        <v>13.05</v>
      </c>
      <c r="K77" s="162" t="n">
        <v>13.04</v>
      </c>
      <c r="L77" s="146" t="n"/>
      <c r="M77" s="160" t="n">
        <v>3.78</v>
      </c>
      <c r="N77" s="161" t="n">
        <v>2.11</v>
      </c>
      <c r="O77" s="162" t="n">
        <v>1.18</v>
      </c>
      <c r="P77" s="160" t="n">
        <v>5.52</v>
      </c>
      <c r="Q77" s="161" t="n">
        <v>3.81</v>
      </c>
      <c r="R77" s="162" t="n">
        <v>2.89</v>
      </c>
      <c r="S77" s="160" t="n">
        <v>8.6</v>
      </c>
      <c r="T77" s="161" t="n">
        <v>6.82</v>
      </c>
      <c r="U77" s="162" t="n">
        <v>5.93</v>
      </c>
      <c r="V77" s="146" t="n"/>
      <c r="W77" s="160" t="n">
        <v>7.63</v>
      </c>
      <c r="X77" s="161" t="n">
        <v>2.47</v>
      </c>
      <c r="Y77" s="162" t="n">
        <v>1.76</v>
      </c>
      <c r="Z77" s="160" t="n">
        <v>8.44</v>
      </c>
      <c r="AA77" s="161" t="n">
        <v>3.09</v>
      </c>
      <c r="AB77" s="162" t="n">
        <v>2.38</v>
      </c>
      <c r="AC77" s="160" t="n">
        <v>8.44</v>
      </c>
      <c r="AD77" s="161" t="n">
        <v>3.09</v>
      </c>
      <c r="AE77" s="162" t="n">
        <v>2.38</v>
      </c>
      <c r="AF77" s="146" t="n"/>
      <c r="AG77" s="160" t="n">
        <v>24.5</v>
      </c>
      <c r="AH77" s="161" t="n">
        <v>39.3</v>
      </c>
      <c r="AI77" s="162" t="n">
        <v>29.4</v>
      </c>
      <c r="AJ77" s="160" t="n">
        <v>49.2</v>
      </c>
      <c r="AK77" s="161" t="n">
        <v>63.4</v>
      </c>
      <c r="AL77" s="162" t="n">
        <v>53.5</v>
      </c>
      <c r="AM77" s="160" t="n">
        <v>98.59999999999999</v>
      </c>
      <c r="AN77" s="161" t="n">
        <v>111.4</v>
      </c>
      <c r="AO77" s="162" t="n">
        <v>101.5</v>
      </c>
      <c r="AP77" s="146" t="n"/>
      <c r="AQ77" s="160" t="n">
        <v>101</v>
      </c>
      <c r="AR77" s="162" t="n">
        <v>101.7</v>
      </c>
      <c r="AS77" s="160" t="n">
        <v>130.7</v>
      </c>
      <c r="AT77" s="162" t="n">
        <v>131.9</v>
      </c>
      <c r="AU77" s="160" t="n">
        <v>190.3</v>
      </c>
      <c r="AV77" s="162" t="n">
        <v>192.3</v>
      </c>
      <c r="AW77" s="147" t="n"/>
    </row>
    <row r="78">
      <c r="A78" s="150" t="n"/>
      <c r="B78" s="159" t="n">
        <v>2078</v>
      </c>
      <c r="C78" s="160" t="n">
        <v>19.1</v>
      </c>
      <c r="D78" s="161" t="n">
        <v>11.59</v>
      </c>
      <c r="E78" s="162" t="n">
        <v>10.26</v>
      </c>
      <c r="F78" s="160" t="n">
        <v>20.3</v>
      </c>
      <c r="G78" s="161" t="n">
        <v>12.11</v>
      </c>
      <c r="H78" s="162" t="n">
        <v>11.4</v>
      </c>
      <c r="I78" s="160" t="n">
        <v>21.56</v>
      </c>
      <c r="J78" s="161" t="n">
        <v>13.05</v>
      </c>
      <c r="K78" s="162" t="n">
        <v>13.04</v>
      </c>
      <c r="L78" s="146" t="n"/>
      <c r="M78" s="160" t="n">
        <v>3.78</v>
      </c>
      <c r="N78" s="161" t="n">
        <v>2.11</v>
      </c>
      <c r="O78" s="162" t="n">
        <v>1.18</v>
      </c>
      <c r="P78" s="160" t="n">
        <v>5.52</v>
      </c>
      <c r="Q78" s="161" t="n">
        <v>3.81</v>
      </c>
      <c r="R78" s="162" t="n">
        <v>2.89</v>
      </c>
      <c r="S78" s="160" t="n">
        <v>8.6</v>
      </c>
      <c r="T78" s="161" t="n">
        <v>6.82</v>
      </c>
      <c r="U78" s="162" t="n">
        <v>5.93</v>
      </c>
      <c r="V78" s="146" t="n"/>
      <c r="W78" s="160" t="n">
        <v>7.63</v>
      </c>
      <c r="X78" s="161" t="n">
        <v>2.47</v>
      </c>
      <c r="Y78" s="162" t="n">
        <v>1.76</v>
      </c>
      <c r="Z78" s="160" t="n">
        <v>8.44</v>
      </c>
      <c r="AA78" s="161" t="n">
        <v>3.09</v>
      </c>
      <c r="AB78" s="162" t="n">
        <v>2.38</v>
      </c>
      <c r="AC78" s="160" t="n">
        <v>8.44</v>
      </c>
      <c r="AD78" s="161" t="n">
        <v>3.09</v>
      </c>
      <c r="AE78" s="162" t="n">
        <v>2.38</v>
      </c>
      <c r="AF78" s="146" t="n"/>
      <c r="AG78" s="160" t="n">
        <v>24.5</v>
      </c>
      <c r="AH78" s="161" t="n">
        <v>39.3</v>
      </c>
      <c r="AI78" s="162" t="n">
        <v>29.4</v>
      </c>
      <c r="AJ78" s="160" t="n">
        <v>49.2</v>
      </c>
      <c r="AK78" s="161" t="n">
        <v>63.3</v>
      </c>
      <c r="AL78" s="162" t="n">
        <v>53.4</v>
      </c>
      <c r="AM78" s="160" t="n">
        <v>98.59999999999999</v>
      </c>
      <c r="AN78" s="161" t="n">
        <v>111.4</v>
      </c>
      <c r="AO78" s="162" t="n">
        <v>101.5</v>
      </c>
      <c r="AP78" s="146" t="n"/>
      <c r="AQ78" s="160" t="n">
        <v>100.8</v>
      </c>
      <c r="AR78" s="162" t="n">
        <v>101.5</v>
      </c>
      <c r="AS78" s="160" t="n">
        <v>130.6</v>
      </c>
      <c r="AT78" s="162" t="n">
        <v>131.7</v>
      </c>
      <c r="AU78" s="160" t="n">
        <v>190.1</v>
      </c>
      <c r="AV78" s="162" t="n">
        <v>192.1</v>
      </c>
      <c r="AW78" s="147" t="n"/>
    </row>
    <row r="79">
      <c r="A79" s="150" t="n"/>
      <c r="B79" s="159" t="n">
        <v>2079</v>
      </c>
      <c r="C79" s="160" t="n">
        <v>19.1</v>
      </c>
      <c r="D79" s="161" t="n">
        <v>11.59</v>
      </c>
      <c r="E79" s="162" t="n">
        <v>10.26</v>
      </c>
      <c r="F79" s="160" t="n">
        <v>20.3</v>
      </c>
      <c r="G79" s="161" t="n">
        <v>12.11</v>
      </c>
      <c r="H79" s="162" t="n">
        <v>11.4</v>
      </c>
      <c r="I79" s="160" t="n">
        <v>21.56</v>
      </c>
      <c r="J79" s="161" t="n">
        <v>13.05</v>
      </c>
      <c r="K79" s="162" t="n">
        <v>13.04</v>
      </c>
      <c r="L79" s="146" t="n"/>
      <c r="M79" s="160" t="n">
        <v>3.78</v>
      </c>
      <c r="N79" s="161" t="n">
        <v>2.11</v>
      </c>
      <c r="O79" s="162" t="n">
        <v>1.18</v>
      </c>
      <c r="P79" s="160" t="n">
        <v>5.52</v>
      </c>
      <c r="Q79" s="161" t="n">
        <v>3.81</v>
      </c>
      <c r="R79" s="162" t="n">
        <v>2.89</v>
      </c>
      <c r="S79" s="160" t="n">
        <v>8.6</v>
      </c>
      <c r="T79" s="161" t="n">
        <v>6.82</v>
      </c>
      <c r="U79" s="162" t="n">
        <v>5.93</v>
      </c>
      <c r="V79" s="146" t="n"/>
      <c r="W79" s="160" t="n">
        <v>7.63</v>
      </c>
      <c r="X79" s="161" t="n">
        <v>2.47</v>
      </c>
      <c r="Y79" s="162" t="n">
        <v>1.76</v>
      </c>
      <c r="Z79" s="160" t="n">
        <v>8.44</v>
      </c>
      <c r="AA79" s="161" t="n">
        <v>3.09</v>
      </c>
      <c r="AB79" s="162" t="n">
        <v>2.38</v>
      </c>
      <c r="AC79" s="160" t="n">
        <v>8.44</v>
      </c>
      <c r="AD79" s="161" t="n">
        <v>3.09</v>
      </c>
      <c r="AE79" s="162" t="n">
        <v>2.38</v>
      </c>
      <c r="AF79" s="146" t="n"/>
      <c r="AG79" s="160" t="n">
        <v>24.5</v>
      </c>
      <c r="AH79" s="161" t="n">
        <v>39.3</v>
      </c>
      <c r="AI79" s="162" t="n">
        <v>29.4</v>
      </c>
      <c r="AJ79" s="160" t="n">
        <v>49.2</v>
      </c>
      <c r="AK79" s="161" t="n">
        <v>63.3</v>
      </c>
      <c r="AL79" s="162" t="n">
        <v>53.4</v>
      </c>
      <c r="AM79" s="160" t="n">
        <v>98.59999999999999</v>
      </c>
      <c r="AN79" s="161" t="n">
        <v>111.3</v>
      </c>
      <c r="AO79" s="162" t="n">
        <v>101.4</v>
      </c>
      <c r="AP79" s="146" t="n"/>
      <c r="AQ79" s="160" t="n">
        <v>100.6</v>
      </c>
      <c r="AR79" s="162" t="n">
        <v>101.3</v>
      </c>
      <c r="AS79" s="160" t="n">
        <v>130.4</v>
      </c>
      <c r="AT79" s="162" t="n">
        <v>131.5</v>
      </c>
      <c r="AU79" s="160" t="n">
        <v>189.9</v>
      </c>
      <c r="AV79" s="162" t="n">
        <v>191.9</v>
      </c>
      <c r="AW79" s="147" t="n"/>
    </row>
    <row r="80">
      <c r="A80" s="150" t="n"/>
      <c r="B80" s="159" t="n">
        <v>2080</v>
      </c>
      <c r="C80" s="160" t="n">
        <v>19.1</v>
      </c>
      <c r="D80" s="161" t="n">
        <v>11.59</v>
      </c>
      <c r="E80" s="162" t="n">
        <v>10.26</v>
      </c>
      <c r="F80" s="160" t="n">
        <v>20.3</v>
      </c>
      <c r="G80" s="161" t="n">
        <v>12.11</v>
      </c>
      <c r="H80" s="162" t="n">
        <v>11.4</v>
      </c>
      <c r="I80" s="160" t="n">
        <v>21.56</v>
      </c>
      <c r="J80" s="161" t="n">
        <v>13.05</v>
      </c>
      <c r="K80" s="162" t="n">
        <v>13.04</v>
      </c>
      <c r="L80" s="146" t="n"/>
      <c r="M80" s="160" t="n">
        <v>3.78</v>
      </c>
      <c r="N80" s="161" t="n">
        <v>2.11</v>
      </c>
      <c r="O80" s="162" t="n">
        <v>1.18</v>
      </c>
      <c r="P80" s="160" t="n">
        <v>5.52</v>
      </c>
      <c r="Q80" s="161" t="n">
        <v>3.81</v>
      </c>
      <c r="R80" s="162" t="n">
        <v>2.89</v>
      </c>
      <c r="S80" s="160" t="n">
        <v>8.6</v>
      </c>
      <c r="T80" s="161" t="n">
        <v>6.82</v>
      </c>
      <c r="U80" s="162" t="n">
        <v>5.93</v>
      </c>
      <c r="V80" s="146" t="n"/>
      <c r="W80" s="160" t="n">
        <v>7.63</v>
      </c>
      <c r="X80" s="161" t="n">
        <v>2.47</v>
      </c>
      <c r="Y80" s="162" t="n">
        <v>1.76</v>
      </c>
      <c r="Z80" s="160" t="n">
        <v>8.44</v>
      </c>
      <c r="AA80" s="161" t="n">
        <v>3.09</v>
      </c>
      <c r="AB80" s="162" t="n">
        <v>2.38</v>
      </c>
      <c r="AC80" s="160" t="n">
        <v>8.44</v>
      </c>
      <c r="AD80" s="161" t="n">
        <v>3.09</v>
      </c>
      <c r="AE80" s="162" t="n">
        <v>2.38</v>
      </c>
      <c r="AF80" s="146" t="n"/>
      <c r="AG80" s="160" t="n">
        <v>24.5</v>
      </c>
      <c r="AH80" s="161" t="n">
        <v>39.3</v>
      </c>
      <c r="AI80" s="162" t="n">
        <v>29.4</v>
      </c>
      <c r="AJ80" s="160" t="n">
        <v>49.2</v>
      </c>
      <c r="AK80" s="161" t="n">
        <v>63.3</v>
      </c>
      <c r="AL80" s="162" t="n">
        <v>53.4</v>
      </c>
      <c r="AM80" s="160" t="n">
        <v>98.59999999999999</v>
      </c>
      <c r="AN80" s="161" t="n">
        <v>111.3</v>
      </c>
      <c r="AO80" s="162" t="n">
        <v>101.4</v>
      </c>
      <c r="AP80" s="146" t="n"/>
      <c r="AQ80" s="160" t="n">
        <v>100.5</v>
      </c>
      <c r="AR80" s="162" t="n">
        <v>101.1</v>
      </c>
      <c r="AS80" s="160" t="n">
        <v>130.2</v>
      </c>
      <c r="AT80" s="162" t="n">
        <v>131.3</v>
      </c>
      <c r="AU80" s="160" t="n">
        <v>189.7</v>
      </c>
      <c r="AV80" s="162" t="n">
        <v>191.7</v>
      </c>
      <c r="AW80" s="147" t="n"/>
    </row>
    <row r="81">
      <c r="A81" s="150" t="n"/>
      <c r="B81" s="159" t="n">
        <v>2081</v>
      </c>
      <c r="C81" s="160" t="n">
        <v>19.1</v>
      </c>
      <c r="D81" s="161" t="n">
        <v>11.59</v>
      </c>
      <c r="E81" s="162" t="n">
        <v>10.26</v>
      </c>
      <c r="F81" s="160" t="n">
        <v>20.3</v>
      </c>
      <c r="G81" s="161" t="n">
        <v>12.11</v>
      </c>
      <c r="H81" s="162" t="n">
        <v>11.4</v>
      </c>
      <c r="I81" s="160" t="n">
        <v>21.56</v>
      </c>
      <c r="J81" s="161" t="n">
        <v>13.05</v>
      </c>
      <c r="K81" s="162" t="n">
        <v>13.04</v>
      </c>
      <c r="L81" s="146" t="n"/>
      <c r="M81" s="160" t="n">
        <v>3.78</v>
      </c>
      <c r="N81" s="161" t="n">
        <v>2.11</v>
      </c>
      <c r="O81" s="162" t="n">
        <v>1.18</v>
      </c>
      <c r="P81" s="160" t="n">
        <v>5.52</v>
      </c>
      <c r="Q81" s="161" t="n">
        <v>3.81</v>
      </c>
      <c r="R81" s="162" t="n">
        <v>2.89</v>
      </c>
      <c r="S81" s="160" t="n">
        <v>8.6</v>
      </c>
      <c r="T81" s="161" t="n">
        <v>6.82</v>
      </c>
      <c r="U81" s="162" t="n">
        <v>5.93</v>
      </c>
      <c r="V81" s="146" t="n"/>
      <c r="W81" s="160" t="n">
        <v>7.63</v>
      </c>
      <c r="X81" s="161" t="n">
        <v>2.46</v>
      </c>
      <c r="Y81" s="162" t="n">
        <v>1.76</v>
      </c>
      <c r="Z81" s="160" t="n">
        <v>8.44</v>
      </c>
      <c r="AA81" s="161" t="n">
        <v>3.08</v>
      </c>
      <c r="AB81" s="162" t="n">
        <v>2.38</v>
      </c>
      <c r="AC81" s="160" t="n">
        <v>8.44</v>
      </c>
      <c r="AD81" s="161" t="n">
        <v>3.08</v>
      </c>
      <c r="AE81" s="162" t="n">
        <v>2.38</v>
      </c>
      <c r="AF81" s="146" t="n"/>
      <c r="AG81" s="160" t="n">
        <v>24.5</v>
      </c>
      <c r="AH81" s="161" t="n">
        <v>39.2</v>
      </c>
      <c r="AI81" s="162" t="n">
        <v>29.3</v>
      </c>
      <c r="AJ81" s="160" t="n">
        <v>49.2</v>
      </c>
      <c r="AK81" s="161" t="n">
        <v>63.3</v>
      </c>
      <c r="AL81" s="162" t="n">
        <v>53.4</v>
      </c>
      <c r="AM81" s="160" t="n">
        <v>98.59999999999999</v>
      </c>
      <c r="AN81" s="161" t="n">
        <v>111.3</v>
      </c>
      <c r="AO81" s="162" t="n">
        <v>101.4</v>
      </c>
      <c r="AP81" s="146" t="n"/>
      <c r="AQ81" s="160" t="n">
        <v>100.3</v>
      </c>
      <c r="AR81" s="162" t="n">
        <v>100.9</v>
      </c>
      <c r="AS81" s="160" t="n">
        <v>130</v>
      </c>
      <c r="AT81" s="162" t="n">
        <v>131.2</v>
      </c>
      <c r="AU81" s="160" t="n">
        <v>189.5</v>
      </c>
      <c r="AV81" s="162" t="n">
        <v>191.6</v>
      </c>
      <c r="AW81" s="147" t="n"/>
    </row>
    <row r="82">
      <c r="A82" s="150" t="n"/>
      <c r="B82" s="159" t="n">
        <v>2082</v>
      </c>
      <c r="C82" s="160" t="n">
        <v>19.1</v>
      </c>
      <c r="D82" s="161" t="n">
        <v>11.59</v>
      </c>
      <c r="E82" s="162" t="n">
        <v>10.26</v>
      </c>
      <c r="F82" s="160" t="n">
        <v>20.3</v>
      </c>
      <c r="G82" s="161" t="n">
        <v>12.11</v>
      </c>
      <c r="H82" s="162" t="n">
        <v>11.4</v>
      </c>
      <c r="I82" s="160" t="n">
        <v>21.56</v>
      </c>
      <c r="J82" s="161" t="n">
        <v>13.05</v>
      </c>
      <c r="K82" s="162" t="n">
        <v>13.04</v>
      </c>
      <c r="L82" s="146" t="n"/>
      <c r="M82" s="160" t="n">
        <v>3.78</v>
      </c>
      <c r="N82" s="161" t="n">
        <v>2.11</v>
      </c>
      <c r="O82" s="162" t="n">
        <v>1.18</v>
      </c>
      <c r="P82" s="160" t="n">
        <v>5.52</v>
      </c>
      <c r="Q82" s="161" t="n">
        <v>3.81</v>
      </c>
      <c r="R82" s="162" t="n">
        <v>2.89</v>
      </c>
      <c r="S82" s="160" t="n">
        <v>8.6</v>
      </c>
      <c r="T82" s="161" t="n">
        <v>6.82</v>
      </c>
      <c r="U82" s="162" t="n">
        <v>5.93</v>
      </c>
      <c r="V82" s="146" t="n"/>
      <c r="W82" s="160" t="n">
        <v>7.63</v>
      </c>
      <c r="X82" s="161" t="n">
        <v>2.46</v>
      </c>
      <c r="Y82" s="162" t="n">
        <v>1.76</v>
      </c>
      <c r="Z82" s="160" t="n">
        <v>8.44</v>
      </c>
      <c r="AA82" s="161" t="n">
        <v>3.08</v>
      </c>
      <c r="AB82" s="162" t="n">
        <v>2.38</v>
      </c>
      <c r="AC82" s="160" t="n">
        <v>8.44</v>
      </c>
      <c r="AD82" s="161" t="n">
        <v>3.08</v>
      </c>
      <c r="AE82" s="162" t="n">
        <v>2.38</v>
      </c>
      <c r="AF82" s="146" t="n"/>
      <c r="AG82" s="160" t="n">
        <v>24.5</v>
      </c>
      <c r="AH82" s="161" t="n">
        <v>39.2</v>
      </c>
      <c r="AI82" s="162" t="n">
        <v>29.3</v>
      </c>
      <c r="AJ82" s="160" t="n">
        <v>49.2</v>
      </c>
      <c r="AK82" s="161" t="n">
        <v>63.2</v>
      </c>
      <c r="AL82" s="162" t="n">
        <v>53.3</v>
      </c>
      <c r="AM82" s="160" t="n">
        <v>98.59999999999999</v>
      </c>
      <c r="AN82" s="161" t="n">
        <v>111.3</v>
      </c>
      <c r="AO82" s="162" t="n">
        <v>101.4</v>
      </c>
      <c r="AP82" s="146" t="n"/>
      <c r="AQ82" s="160" t="n">
        <v>100.1</v>
      </c>
      <c r="AR82" s="162" t="n">
        <v>100.8</v>
      </c>
      <c r="AS82" s="160" t="n">
        <v>129.9</v>
      </c>
      <c r="AT82" s="162" t="n">
        <v>131</v>
      </c>
      <c r="AU82" s="160" t="n">
        <v>189.4</v>
      </c>
      <c r="AV82" s="162" t="n">
        <v>191.4</v>
      </c>
      <c r="AW82" s="147" t="n"/>
    </row>
    <row r="83">
      <c r="A83" s="150" t="n"/>
      <c r="B83" s="159" t="n">
        <v>2083</v>
      </c>
      <c r="C83" s="160" t="n">
        <v>19.1</v>
      </c>
      <c r="D83" s="161" t="n">
        <v>11.59</v>
      </c>
      <c r="E83" s="162" t="n">
        <v>10.26</v>
      </c>
      <c r="F83" s="160" t="n">
        <v>20.3</v>
      </c>
      <c r="G83" s="161" t="n">
        <v>12.11</v>
      </c>
      <c r="H83" s="162" t="n">
        <v>11.4</v>
      </c>
      <c r="I83" s="160" t="n">
        <v>21.56</v>
      </c>
      <c r="J83" s="161" t="n">
        <v>13.05</v>
      </c>
      <c r="K83" s="162" t="n">
        <v>13.04</v>
      </c>
      <c r="L83" s="146" t="n"/>
      <c r="M83" s="160" t="n">
        <v>3.78</v>
      </c>
      <c r="N83" s="161" t="n">
        <v>2.11</v>
      </c>
      <c r="O83" s="162" t="n">
        <v>1.18</v>
      </c>
      <c r="P83" s="160" t="n">
        <v>5.52</v>
      </c>
      <c r="Q83" s="161" t="n">
        <v>3.81</v>
      </c>
      <c r="R83" s="162" t="n">
        <v>2.89</v>
      </c>
      <c r="S83" s="160" t="n">
        <v>8.6</v>
      </c>
      <c r="T83" s="161" t="n">
        <v>6.82</v>
      </c>
      <c r="U83" s="162" t="n">
        <v>5.93</v>
      </c>
      <c r="V83" s="146" t="n"/>
      <c r="W83" s="160" t="n">
        <v>7.63</v>
      </c>
      <c r="X83" s="161" t="n">
        <v>2.46</v>
      </c>
      <c r="Y83" s="162" t="n">
        <v>1.76</v>
      </c>
      <c r="Z83" s="160" t="n">
        <v>8.44</v>
      </c>
      <c r="AA83" s="161" t="n">
        <v>3.08</v>
      </c>
      <c r="AB83" s="162" t="n">
        <v>2.38</v>
      </c>
      <c r="AC83" s="160" t="n">
        <v>8.44</v>
      </c>
      <c r="AD83" s="161" t="n">
        <v>3.08</v>
      </c>
      <c r="AE83" s="162" t="n">
        <v>2.38</v>
      </c>
      <c r="AF83" s="146" t="n"/>
      <c r="AG83" s="160" t="n">
        <v>24.5</v>
      </c>
      <c r="AH83" s="161" t="n">
        <v>39.2</v>
      </c>
      <c r="AI83" s="162" t="n">
        <v>29.3</v>
      </c>
      <c r="AJ83" s="160" t="n">
        <v>49.2</v>
      </c>
      <c r="AK83" s="161" t="n">
        <v>63.2</v>
      </c>
      <c r="AL83" s="162" t="n">
        <v>53.3</v>
      </c>
      <c r="AM83" s="160" t="n">
        <v>98.59999999999999</v>
      </c>
      <c r="AN83" s="161" t="n">
        <v>111.2</v>
      </c>
      <c r="AO83" s="162" t="n">
        <v>101.3</v>
      </c>
      <c r="AP83" s="146" t="n"/>
      <c r="AQ83" s="160" t="n">
        <v>99.90000000000001</v>
      </c>
      <c r="AR83" s="162" t="n">
        <v>100.6</v>
      </c>
      <c r="AS83" s="160" t="n">
        <v>129.7</v>
      </c>
      <c r="AT83" s="162" t="n">
        <v>130.8</v>
      </c>
      <c r="AU83" s="160" t="n">
        <v>189.2</v>
      </c>
      <c r="AV83" s="162" t="n">
        <v>191.2</v>
      </c>
      <c r="AW83" s="147" t="n"/>
    </row>
    <row r="84">
      <c r="A84" s="150" t="n"/>
      <c r="B84" s="159" t="n">
        <v>2084</v>
      </c>
      <c r="C84" s="160" t="n">
        <v>19.1</v>
      </c>
      <c r="D84" s="161" t="n">
        <v>11.59</v>
      </c>
      <c r="E84" s="162" t="n">
        <v>10.26</v>
      </c>
      <c r="F84" s="160" t="n">
        <v>20.3</v>
      </c>
      <c r="G84" s="161" t="n">
        <v>12.11</v>
      </c>
      <c r="H84" s="162" t="n">
        <v>11.4</v>
      </c>
      <c r="I84" s="160" t="n">
        <v>21.56</v>
      </c>
      <c r="J84" s="161" t="n">
        <v>13.05</v>
      </c>
      <c r="K84" s="162" t="n">
        <v>13.04</v>
      </c>
      <c r="L84" s="146" t="n"/>
      <c r="M84" s="160" t="n">
        <v>3.78</v>
      </c>
      <c r="N84" s="161" t="n">
        <v>2.11</v>
      </c>
      <c r="O84" s="162" t="n">
        <v>1.18</v>
      </c>
      <c r="P84" s="160" t="n">
        <v>5.52</v>
      </c>
      <c r="Q84" s="161" t="n">
        <v>3.81</v>
      </c>
      <c r="R84" s="162" t="n">
        <v>2.89</v>
      </c>
      <c r="S84" s="160" t="n">
        <v>8.6</v>
      </c>
      <c r="T84" s="161" t="n">
        <v>6.82</v>
      </c>
      <c r="U84" s="162" t="n">
        <v>5.93</v>
      </c>
      <c r="V84" s="146" t="n"/>
      <c r="W84" s="160" t="n">
        <v>7.63</v>
      </c>
      <c r="X84" s="161" t="n">
        <v>2.46</v>
      </c>
      <c r="Y84" s="162" t="n">
        <v>1.75</v>
      </c>
      <c r="Z84" s="160" t="n">
        <v>8.44</v>
      </c>
      <c r="AA84" s="161" t="n">
        <v>3.08</v>
      </c>
      <c r="AB84" s="162" t="n">
        <v>2.38</v>
      </c>
      <c r="AC84" s="160" t="n">
        <v>8.44</v>
      </c>
      <c r="AD84" s="161" t="n">
        <v>3.08</v>
      </c>
      <c r="AE84" s="162" t="n">
        <v>2.38</v>
      </c>
      <c r="AF84" s="146" t="n"/>
      <c r="AG84" s="160" t="n">
        <v>24.5</v>
      </c>
      <c r="AH84" s="161" t="n">
        <v>39.2</v>
      </c>
      <c r="AI84" s="162" t="n">
        <v>29.3</v>
      </c>
      <c r="AJ84" s="160" t="n">
        <v>49.2</v>
      </c>
      <c r="AK84" s="161" t="n">
        <v>63.2</v>
      </c>
      <c r="AL84" s="162" t="n">
        <v>53.3</v>
      </c>
      <c r="AM84" s="160" t="n">
        <v>98.59999999999999</v>
      </c>
      <c r="AN84" s="161" t="n">
        <v>111.2</v>
      </c>
      <c r="AO84" s="162" t="n">
        <v>101.3</v>
      </c>
      <c r="AP84" s="146" t="n"/>
      <c r="AQ84" s="160" t="n">
        <v>99.8</v>
      </c>
      <c r="AR84" s="162" t="n">
        <v>100.4</v>
      </c>
      <c r="AS84" s="160" t="n">
        <v>129.5</v>
      </c>
      <c r="AT84" s="162" t="n">
        <v>130.6</v>
      </c>
      <c r="AU84" s="160" t="n">
        <v>189</v>
      </c>
      <c r="AV84" s="162" t="n">
        <v>191</v>
      </c>
      <c r="AW84" s="147" t="n"/>
    </row>
    <row r="85">
      <c r="A85" s="150" t="n"/>
      <c r="B85" s="159" t="n">
        <v>2085</v>
      </c>
      <c r="C85" s="160" t="n">
        <v>19.1</v>
      </c>
      <c r="D85" s="161" t="n">
        <v>11.59</v>
      </c>
      <c r="E85" s="162" t="n">
        <v>10.26</v>
      </c>
      <c r="F85" s="160" t="n">
        <v>20.3</v>
      </c>
      <c r="G85" s="161" t="n">
        <v>12.11</v>
      </c>
      <c r="H85" s="162" t="n">
        <v>11.4</v>
      </c>
      <c r="I85" s="160" t="n">
        <v>21.56</v>
      </c>
      <c r="J85" s="161" t="n">
        <v>13.05</v>
      </c>
      <c r="K85" s="162" t="n">
        <v>13.04</v>
      </c>
      <c r="L85" s="146" t="n"/>
      <c r="M85" s="160" t="n">
        <v>3.78</v>
      </c>
      <c r="N85" s="161" t="n">
        <v>2.11</v>
      </c>
      <c r="O85" s="162" t="n">
        <v>1.18</v>
      </c>
      <c r="P85" s="160" t="n">
        <v>5.52</v>
      </c>
      <c r="Q85" s="161" t="n">
        <v>3.81</v>
      </c>
      <c r="R85" s="162" t="n">
        <v>2.89</v>
      </c>
      <c r="S85" s="160" t="n">
        <v>8.6</v>
      </c>
      <c r="T85" s="161" t="n">
        <v>6.82</v>
      </c>
      <c r="U85" s="162" t="n">
        <v>5.93</v>
      </c>
      <c r="V85" s="146" t="n"/>
      <c r="W85" s="160" t="n">
        <v>7.63</v>
      </c>
      <c r="X85" s="161" t="n">
        <v>2.45</v>
      </c>
      <c r="Y85" s="162" t="n">
        <v>1.75</v>
      </c>
      <c r="Z85" s="160" t="n">
        <v>8.44</v>
      </c>
      <c r="AA85" s="161" t="n">
        <v>3.07</v>
      </c>
      <c r="AB85" s="162" t="n">
        <v>2.38</v>
      </c>
      <c r="AC85" s="160" t="n">
        <v>8.44</v>
      </c>
      <c r="AD85" s="161" t="n">
        <v>3.07</v>
      </c>
      <c r="AE85" s="162" t="n">
        <v>2.38</v>
      </c>
      <c r="AF85" s="146" t="n"/>
      <c r="AG85" s="160" t="n">
        <v>24.5</v>
      </c>
      <c r="AH85" s="161" t="n">
        <v>39.1</v>
      </c>
      <c r="AI85" s="162" t="n">
        <v>29.2</v>
      </c>
      <c r="AJ85" s="160" t="n">
        <v>49.2</v>
      </c>
      <c r="AK85" s="161" t="n">
        <v>63.2</v>
      </c>
      <c r="AL85" s="162" t="n">
        <v>53.2</v>
      </c>
      <c r="AM85" s="160" t="n">
        <v>98.59999999999999</v>
      </c>
      <c r="AN85" s="161" t="n">
        <v>111.2</v>
      </c>
      <c r="AO85" s="162" t="n">
        <v>101.3</v>
      </c>
      <c r="AP85" s="146" t="n"/>
      <c r="AQ85" s="160" t="n">
        <v>99.59999999999999</v>
      </c>
      <c r="AR85" s="162" t="n">
        <v>100.2</v>
      </c>
      <c r="AS85" s="160" t="n">
        <v>129.3</v>
      </c>
      <c r="AT85" s="162" t="n">
        <v>130.5</v>
      </c>
      <c r="AU85" s="160" t="n">
        <v>188.8</v>
      </c>
      <c r="AV85" s="162" t="n">
        <v>190.9</v>
      </c>
      <c r="AW85" s="147" t="n"/>
    </row>
    <row r="86">
      <c r="A86" s="150" t="n"/>
      <c r="B86" s="159" t="n">
        <v>2086</v>
      </c>
      <c r="C86" s="160" t="n">
        <v>19.1</v>
      </c>
      <c r="D86" s="161" t="n">
        <v>11.59</v>
      </c>
      <c r="E86" s="162" t="n">
        <v>10.26</v>
      </c>
      <c r="F86" s="160" t="n">
        <v>20.3</v>
      </c>
      <c r="G86" s="161" t="n">
        <v>12.11</v>
      </c>
      <c r="H86" s="162" t="n">
        <v>11.4</v>
      </c>
      <c r="I86" s="160" t="n">
        <v>21.56</v>
      </c>
      <c r="J86" s="161" t="n">
        <v>13.05</v>
      </c>
      <c r="K86" s="162" t="n">
        <v>13.04</v>
      </c>
      <c r="L86" s="146" t="n"/>
      <c r="M86" s="160" t="n">
        <v>3.78</v>
      </c>
      <c r="N86" s="161" t="n">
        <v>2.11</v>
      </c>
      <c r="O86" s="162" t="n">
        <v>1.18</v>
      </c>
      <c r="P86" s="160" t="n">
        <v>5.52</v>
      </c>
      <c r="Q86" s="161" t="n">
        <v>3.81</v>
      </c>
      <c r="R86" s="162" t="n">
        <v>2.89</v>
      </c>
      <c r="S86" s="160" t="n">
        <v>8.6</v>
      </c>
      <c r="T86" s="161" t="n">
        <v>6.82</v>
      </c>
      <c r="U86" s="162" t="n">
        <v>5.93</v>
      </c>
      <c r="V86" s="146" t="n"/>
      <c r="W86" s="160" t="n">
        <v>7.63</v>
      </c>
      <c r="X86" s="161" t="n">
        <v>2.45</v>
      </c>
      <c r="Y86" s="162" t="n">
        <v>1.75</v>
      </c>
      <c r="Z86" s="160" t="n">
        <v>8.44</v>
      </c>
      <c r="AA86" s="161" t="n">
        <v>3.07</v>
      </c>
      <c r="AB86" s="162" t="n">
        <v>2.37</v>
      </c>
      <c r="AC86" s="160" t="n">
        <v>8.44</v>
      </c>
      <c r="AD86" s="161" t="n">
        <v>3.07</v>
      </c>
      <c r="AE86" s="162" t="n">
        <v>2.37</v>
      </c>
      <c r="AF86" s="146" t="n"/>
      <c r="AG86" s="160" t="n">
        <v>24.5</v>
      </c>
      <c r="AH86" s="161" t="n">
        <v>39.1</v>
      </c>
      <c r="AI86" s="162" t="n">
        <v>29.2</v>
      </c>
      <c r="AJ86" s="160" t="n">
        <v>49.2</v>
      </c>
      <c r="AK86" s="161" t="n">
        <v>63.1</v>
      </c>
      <c r="AL86" s="162" t="n">
        <v>53.2</v>
      </c>
      <c r="AM86" s="160" t="n">
        <v>98.59999999999999</v>
      </c>
      <c r="AN86" s="161" t="n">
        <v>111.2</v>
      </c>
      <c r="AO86" s="162" t="n">
        <v>101.3</v>
      </c>
      <c r="AP86" s="146" t="n"/>
      <c r="AQ86" s="160" t="n">
        <v>99.40000000000001</v>
      </c>
      <c r="AR86" s="162" t="n">
        <v>100.1</v>
      </c>
      <c r="AS86" s="160" t="n">
        <v>129.2</v>
      </c>
      <c r="AT86" s="162" t="n">
        <v>130.3</v>
      </c>
      <c r="AU86" s="160" t="n">
        <v>188.7</v>
      </c>
      <c r="AV86" s="162" t="n">
        <v>190.7</v>
      </c>
      <c r="AW86" s="147" t="n"/>
    </row>
    <row r="87">
      <c r="A87" s="150" t="n"/>
      <c r="B87" s="159" t="n">
        <v>2087</v>
      </c>
      <c r="C87" s="160" t="n">
        <v>19.1</v>
      </c>
      <c r="D87" s="161" t="n">
        <v>11.59</v>
      </c>
      <c r="E87" s="162" t="n">
        <v>10.26</v>
      </c>
      <c r="F87" s="160" t="n">
        <v>20.3</v>
      </c>
      <c r="G87" s="161" t="n">
        <v>12.11</v>
      </c>
      <c r="H87" s="162" t="n">
        <v>11.4</v>
      </c>
      <c r="I87" s="160" t="n">
        <v>21.56</v>
      </c>
      <c r="J87" s="161" t="n">
        <v>13.05</v>
      </c>
      <c r="K87" s="162" t="n">
        <v>13.04</v>
      </c>
      <c r="L87" s="146" t="n"/>
      <c r="M87" s="160" t="n">
        <v>3.78</v>
      </c>
      <c r="N87" s="161" t="n">
        <v>2.11</v>
      </c>
      <c r="O87" s="162" t="n">
        <v>1.18</v>
      </c>
      <c r="P87" s="160" t="n">
        <v>5.52</v>
      </c>
      <c r="Q87" s="161" t="n">
        <v>3.81</v>
      </c>
      <c r="R87" s="162" t="n">
        <v>2.89</v>
      </c>
      <c r="S87" s="160" t="n">
        <v>8.6</v>
      </c>
      <c r="T87" s="161" t="n">
        <v>6.82</v>
      </c>
      <c r="U87" s="162" t="n">
        <v>5.93</v>
      </c>
      <c r="V87" s="146" t="n"/>
      <c r="W87" s="160" t="n">
        <v>7.63</v>
      </c>
      <c r="X87" s="161" t="n">
        <v>2.45</v>
      </c>
      <c r="Y87" s="162" t="n">
        <v>1.75</v>
      </c>
      <c r="Z87" s="160" t="n">
        <v>8.44</v>
      </c>
      <c r="AA87" s="161" t="n">
        <v>3.07</v>
      </c>
      <c r="AB87" s="162" t="n">
        <v>2.37</v>
      </c>
      <c r="AC87" s="160" t="n">
        <v>8.44</v>
      </c>
      <c r="AD87" s="161" t="n">
        <v>3.07</v>
      </c>
      <c r="AE87" s="162" t="n">
        <v>2.37</v>
      </c>
      <c r="AF87" s="146" t="n"/>
      <c r="AG87" s="160" t="n">
        <v>24.5</v>
      </c>
      <c r="AH87" s="161" t="n">
        <v>39.1</v>
      </c>
      <c r="AI87" s="162" t="n">
        <v>29.2</v>
      </c>
      <c r="AJ87" s="160" t="n">
        <v>49.2</v>
      </c>
      <c r="AK87" s="161" t="n">
        <v>63.1</v>
      </c>
      <c r="AL87" s="162" t="n">
        <v>53.2</v>
      </c>
      <c r="AM87" s="160" t="n">
        <v>98.59999999999999</v>
      </c>
      <c r="AN87" s="161" t="n">
        <v>111.1</v>
      </c>
      <c r="AO87" s="162" t="n">
        <v>101.2</v>
      </c>
      <c r="AP87" s="146" t="n"/>
      <c r="AQ87" s="160" t="n">
        <v>99.2</v>
      </c>
      <c r="AR87" s="162" t="n">
        <v>99.90000000000001</v>
      </c>
      <c r="AS87" s="160" t="n">
        <v>129</v>
      </c>
      <c r="AT87" s="162" t="n">
        <v>130.1</v>
      </c>
      <c r="AU87" s="160" t="n">
        <v>188.5</v>
      </c>
      <c r="AV87" s="162" t="n">
        <v>190.5</v>
      </c>
      <c r="AW87" s="147" t="n"/>
    </row>
    <row r="88">
      <c r="A88" s="150" t="n"/>
      <c r="B88" s="159" t="n">
        <v>2088</v>
      </c>
      <c r="C88" s="160" t="n">
        <v>19.1</v>
      </c>
      <c r="D88" s="161" t="n">
        <v>11.59</v>
      </c>
      <c r="E88" s="162" t="n">
        <v>10.26</v>
      </c>
      <c r="F88" s="160" t="n">
        <v>20.3</v>
      </c>
      <c r="G88" s="161" t="n">
        <v>12.11</v>
      </c>
      <c r="H88" s="162" t="n">
        <v>11.4</v>
      </c>
      <c r="I88" s="160" t="n">
        <v>21.56</v>
      </c>
      <c r="J88" s="161" t="n">
        <v>13.05</v>
      </c>
      <c r="K88" s="162" t="n">
        <v>13.04</v>
      </c>
      <c r="L88" s="146" t="n"/>
      <c r="M88" s="160" t="n">
        <v>3.78</v>
      </c>
      <c r="N88" s="161" t="n">
        <v>2.11</v>
      </c>
      <c r="O88" s="162" t="n">
        <v>1.18</v>
      </c>
      <c r="P88" s="160" t="n">
        <v>5.52</v>
      </c>
      <c r="Q88" s="161" t="n">
        <v>3.81</v>
      </c>
      <c r="R88" s="162" t="n">
        <v>2.89</v>
      </c>
      <c r="S88" s="160" t="n">
        <v>8.6</v>
      </c>
      <c r="T88" s="161" t="n">
        <v>6.82</v>
      </c>
      <c r="U88" s="162" t="n">
        <v>5.93</v>
      </c>
      <c r="V88" s="146" t="n"/>
      <c r="W88" s="160" t="n">
        <v>7.63</v>
      </c>
      <c r="X88" s="161" t="n">
        <v>2.45</v>
      </c>
      <c r="Y88" s="162" t="n">
        <v>1.75</v>
      </c>
      <c r="Z88" s="160" t="n">
        <v>8.44</v>
      </c>
      <c r="AA88" s="161" t="n">
        <v>3.07</v>
      </c>
      <c r="AB88" s="162" t="n">
        <v>2.37</v>
      </c>
      <c r="AC88" s="160" t="n">
        <v>8.44</v>
      </c>
      <c r="AD88" s="161" t="n">
        <v>3.07</v>
      </c>
      <c r="AE88" s="162" t="n">
        <v>2.37</v>
      </c>
      <c r="AF88" s="146" t="n"/>
      <c r="AG88" s="160" t="n">
        <v>24.5</v>
      </c>
      <c r="AH88" s="161" t="n">
        <v>39.1</v>
      </c>
      <c r="AI88" s="162" t="n">
        <v>29.2</v>
      </c>
      <c r="AJ88" s="160" t="n">
        <v>49.2</v>
      </c>
      <c r="AK88" s="161" t="n">
        <v>63.1</v>
      </c>
      <c r="AL88" s="162" t="n">
        <v>53.2</v>
      </c>
      <c r="AM88" s="160" t="n">
        <v>98.59999999999999</v>
      </c>
      <c r="AN88" s="161" t="n">
        <v>111.1</v>
      </c>
      <c r="AO88" s="162" t="n">
        <v>101.2</v>
      </c>
      <c r="AP88" s="146" t="n"/>
      <c r="AQ88" s="160" t="n">
        <v>99.09999999999999</v>
      </c>
      <c r="AR88" s="162" t="n">
        <v>99.7</v>
      </c>
      <c r="AS88" s="160" t="n">
        <v>128.8</v>
      </c>
      <c r="AT88" s="162" t="n">
        <v>129.9</v>
      </c>
      <c r="AU88" s="160" t="n">
        <v>188.3</v>
      </c>
      <c r="AV88" s="162" t="n">
        <v>190.4</v>
      </c>
      <c r="AW88" s="147" t="n"/>
    </row>
    <row r="89">
      <c r="A89" s="150" t="n"/>
      <c r="B89" s="159" t="n">
        <v>2089</v>
      </c>
      <c r="C89" s="160" t="n">
        <v>19.1</v>
      </c>
      <c r="D89" s="161" t="n">
        <v>11.59</v>
      </c>
      <c r="E89" s="162" t="n">
        <v>10.26</v>
      </c>
      <c r="F89" s="160" t="n">
        <v>20.3</v>
      </c>
      <c r="G89" s="161" t="n">
        <v>12.11</v>
      </c>
      <c r="H89" s="162" t="n">
        <v>11.4</v>
      </c>
      <c r="I89" s="160" t="n">
        <v>21.56</v>
      </c>
      <c r="J89" s="161" t="n">
        <v>13.05</v>
      </c>
      <c r="K89" s="162" t="n">
        <v>13.04</v>
      </c>
      <c r="L89" s="146" t="n"/>
      <c r="M89" s="160" t="n">
        <v>3.78</v>
      </c>
      <c r="N89" s="161" t="n">
        <v>2.11</v>
      </c>
      <c r="O89" s="162" t="n">
        <v>1.18</v>
      </c>
      <c r="P89" s="160" t="n">
        <v>5.52</v>
      </c>
      <c r="Q89" s="161" t="n">
        <v>3.81</v>
      </c>
      <c r="R89" s="162" t="n">
        <v>2.89</v>
      </c>
      <c r="S89" s="160" t="n">
        <v>8.6</v>
      </c>
      <c r="T89" s="161" t="n">
        <v>6.82</v>
      </c>
      <c r="U89" s="162" t="n">
        <v>5.93</v>
      </c>
      <c r="V89" s="146" t="n"/>
      <c r="W89" s="160" t="n">
        <v>7.63</v>
      </c>
      <c r="X89" s="161" t="n">
        <v>2.44</v>
      </c>
      <c r="Y89" s="162" t="n">
        <v>1.75</v>
      </c>
      <c r="Z89" s="160" t="n">
        <v>8.44</v>
      </c>
      <c r="AA89" s="161" t="n">
        <v>3.06</v>
      </c>
      <c r="AB89" s="162" t="n">
        <v>2.37</v>
      </c>
      <c r="AC89" s="160" t="n">
        <v>8.44</v>
      </c>
      <c r="AD89" s="161" t="n">
        <v>3.06</v>
      </c>
      <c r="AE89" s="162" t="n">
        <v>2.37</v>
      </c>
      <c r="AF89" s="146" t="n"/>
      <c r="AG89" s="160" t="n">
        <v>24.5</v>
      </c>
      <c r="AH89" s="161" t="n">
        <v>39</v>
      </c>
      <c r="AI89" s="162" t="n">
        <v>29.1</v>
      </c>
      <c r="AJ89" s="160" t="n">
        <v>49.2</v>
      </c>
      <c r="AK89" s="161" t="n">
        <v>63</v>
      </c>
      <c r="AL89" s="162" t="n">
        <v>53.1</v>
      </c>
      <c r="AM89" s="160" t="n">
        <v>98.59999999999999</v>
      </c>
      <c r="AN89" s="161" t="n">
        <v>111.1</v>
      </c>
      <c r="AO89" s="162" t="n">
        <v>101.2</v>
      </c>
      <c r="AP89" s="146" t="n"/>
      <c r="AQ89" s="160" t="n">
        <v>98.90000000000001</v>
      </c>
      <c r="AR89" s="162" t="n">
        <v>99.59999999999999</v>
      </c>
      <c r="AS89" s="160" t="n">
        <v>128.6</v>
      </c>
      <c r="AT89" s="162" t="n">
        <v>129.8</v>
      </c>
      <c r="AU89" s="160" t="n">
        <v>188.2</v>
      </c>
      <c r="AV89" s="162" t="n">
        <v>190.2</v>
      </c>
      <c r="AW89" s="147" t="n"/>
    </row>
    <row r="90">
      <c r="A90" s="150" t="n"/>
      <c r="B90" s="159" t="n">
        <v>2090</v>
      </c>
      <c r="C90" s="160" t="n">
        <v>19.1</v>
      </c>
      <c r="D90" s="161" t="n">
        <v>11.59</v>
      </c>
      <c r="E90" s="162" t="n">
        <v>10.26</v>
      </c>
      <c r="F90" s="160" t="n">
        <v>20.3</v>
      </c>
      <c r="G90" s="161" t="n">
        <v>12.11</v>
      </c>
      <c r="H90" s="162" t="n">
        <v>11.4</v>
      </c>
      <c r="I90" s="160" t="n">
        <v>21.56</v>
      </c>
      <c r="J90" s="161" t="n">
        <v>13.05</v>
      </c>
      <c r="K90" s="162" t="n">
        <v>13.04</v>
      </c>
      <c r="L90" s="146" t="n"/>
      <c r="M90" s="160" t="n">
        <v>3.78</v>
      </c>
      <c r="N90" s="161" t="n">
        <v>2.11</v>
      </c>
      <c r="O90" s="162" t="n">
        <v>1.18</v>
      </c>
      <c r="P90" s="160" t="n">
        <v>5.52</v>
      </c>
      <c r="Q90" s="161" t="n">
        <v>3.81</v>
      </c>
      <c r="R90" s="162" t="n">
        <v>2.89</v>
      </c>
      <c r="S90" s="160" t="n">
        <v>8.6</v>
      </c>
      <c r="T90" s="161" t="n">
        <v>6.82</v>
      </c>
      <c r="U90" s="162" t="n">
        <v>5.93</v>
      </c>
      <c r="V90" s="146" t="n"/>
      <c r="W90" s="160" t="n">
        <v>7.63</v>
      </c>
      <c r="X90" s="161" t="n">
        <v>2.44</v>
      </c>
      <c r="Y90" s="162" t="n">
        <v>1.75</v>
      </c>
      <c r="Z90" s="160" t="n">
        <v>8.44</v>
      </c>
      <c r="AA90" s="161" t="n">
        <v>3.06</v>
      </c>
      <c r="AB90" s="162" t="n">
        <v>2.37</v>
      </c>
      <c r="AC90" s="160" t="n">
        <v>8.44</v>
      </c>
      <c r="AD90" s="161" t="n">
        <v>3.06</v>
      </c>
      <c r="AE90" s="162" t="n">
        <v>2.37</v>
      </c>
      <c r="AF90" s="146" t="n"/>
      <c r="AG90" s="160" t="n">
        <v>24.5</v>
      </c>
      <c r="AH90" s="161" t="n">
        <v>39</v>
      </c>
      <c r="AI90" s="162" t="n">
        <v>29.1</v>
      </c>
      <c r="AJ90" s="160" t="n">
        <v>49.2</v>
      </c>
      <c r="AK90" s="161" t="n">
        <v>63</v>
      </c>
      <c r="AL90" s="162" t="n">
        <v>53.1</v>
      </c>
      <c r="AM90" s="160" t="n">
        <v>98.59999999999999</v>
      </c>
      <c r="AN90" s="161" t="n">
        <v>111.1</v>
      </c>
      <c r="AO90" s="162" t="n">
        <v>101.2</v>
      </c>
      <c r="AP90" s="146" t="n"/>
      <c r="AQ90" s="160" t="n">
        <v>98.7</v>
      </c>
      <c r="AR90" s="162" t="n">
        <v>99.40000000000001</v>
      </c>
      <c r="AS90" s="160" t="n">
        <v>128.5</v>
      </c>
      <c r="AT90" s="162" t="n">
        <v>129.6</v>
      </c>
      <c r="AU90" s="160" t="n">
        <v>188</v>
      </c>
      <c r="AV90" s="162" t="n">
        <v>190</v>
      </c>
      <c r="AW90" s="147" t="n"/>
    </row>
    <row r="91">
      <c r="A91" s="150" t="n"/>
      <c r="B91" s="159" t="n">
        <v>2091</v>
      </c>
      <c r="C91" s="160" t="n">
        <v>19.1</v>
      </c>
      <c r="D91" s="161" t="n">
        <v>11.59</v>
      </c>
      <c r="E91" s="162" t="n">
        <v>10.26</v>
      </c>
      <c r="F91" s="160" t="n">
        <v>20.3</v>
      </c>
      <c r="G91" s="161" t="n">
        <v>12.11</v>
      </c>
      <c r="H91" s="162" t="n">
        <v>11.4</v>
      </c>
      <c r="I91" s="160" t="n">
        <v>21.56</v>
      </c>
      <c r="J91" s="161" t="n">
        <v>13.05</v>
      </c>
      <c r="K91" s="162" t="n">
        <v>13.04</v>
      </c>
      <c r="L91" s="146" t="n"/>
      <c r="M91" s="160" t="n">
        <v>3.78</v>
      </c>
      <c r="N91" s="161" t="n">
        <v>2.11</v>
      </c>
      <c r="O91" s="162" t="n">
        <v>1.18</v>
      </c>
      <c r="P91" s="160" t="n">
        <v>5.52</v>
      </c>
      <c r="Q91" s="161" t="n">
        <v>3.81</v>
      </c>
      <c r="R91" s="162" t="n">
        <v>2.89</v>
      </c>
      <c r="S91" s="160" t="n">
        <v>8.6</v>
      </c>
      <c r="T91" s="161" t="n">
        <v>6.82</v>
      </c>
      <c r="U91" s="162" t="n">
        <v>5.93</v>
      </c>
      <c r="V91" s="146" t="n"/>
      <c r="W91" s="160" t="n">
        <v>7.63</v>
      </c>
      <c r="X91" s="161" t="n">
        <v>2.44</v>
      </c>
      <c r="Y91" s="162" t="n">
        <v>1.75</v>
      </c>
      <c r="Z91" s="160" t="n">
        <v>8.44</v>
      </c>
      <c r="AA91" s="161" t="n">
        <v>3.06</v>
      </c>
      <c r="AB91" s="162" t="n">
        <v>2.37</v>
      </c>
      <c r="AC91" s="160" t="n">
        <v>8.44</v>
      </c>
      <c r="AD91" s="161" t="n">
        <v>3.06</v>
      </c>
      <c r="AE91" s="162" t="n">
        <v>2.37</v>
      </c>
      <c r="AF91" s="146" t="n"/>
      <c r="AG91" s="160" t="n">
        <v>24.5</v>
      </c>
      <c r="AH91" s="161" t="n">
        <v>39</v>
      </c>
      <c r="AI91" s="162" t="n">
        <v>29.1</v>
      </c>
      <c r="AJ91" s="160" t="n">
        <v>49.2</v>
      </c>
      <c r="AK91" s="161" t="n">
        <v>63</v>
      </c>
      <c r="AL91" s="162" t="n">
        <v>53.1</v>
      </c>
      <c r="AM91" s="160" t="n">
        <v>98.59999999999999</v>
      </c>
      <c r="AN91" s="161" t="n">
        <v>111</v>
      </c>
      <c r="AO91" s="162" t="n">
        <v>101.1</v>
      </c>
      <c r="AP91" s="146" t="n"/>
      <c r="AQ91" s="160" t="n">
        <v>98.5</v>
      </c>
      <c r="AR91" s="162" t="n">
        <v>99.2</v>
      </c>
      <c r="AS91" s="160" t="n">
        <v>128.3</v>
      </c>
      <c r="AT91" s="162" t="n">
        <v>129.4</v>
      </c>
      <c r="AU91" s="160" t="n">
        <v>187.8</v>
      </c>
      <c r="AV91" s="162" t="n">
        <v>189.8</v>
      </c>
      <c r="AW91" s="147" t="n"/>
    </row>
    <row r="92">
      <c r="A92" s="150" t="n"/>
      <c r="B92" s="159" t="n">
        <v>2092</v>
      </c>
      <c r="C92" s="160" t="n">
        <v>19.1</v>
      </c>
      <c r="D92" s="161" t="n">
        <v>11.59</v>
      </c>
      <c r="E92" s="162" t="n">
        <v>10.26</v>
      </c>
      <c r="F92" s="160" t="n">
        <v>20.3</v>
      </c>
      <c r="G92" s="161" t="n">
        <v>12.11</v>
      </c>
      <c r="H92" s="162" t="n">
        <v>11.4</v>
      </c>
      <c r="I92" s="160" t="n">
        <v>21.56</v>
      </c>
      <c r="J92" s="161" t="n">
        <v>13.05</v>
      </c>
      <c r="K92" s="162" t="n">
        <v>13.04</v>
      </c>
      <c r="L92" s="146" t="n"/>
      <c r="M92" s="160" t="n">
        <v>3.78</v>
      </c>
      <c r="N92" s="161" t="n">
        <v>2.11</v>
      </c>
      <c r="O92" s="162" t="n">
        <v>1.18</v>
      </c>
      <c r="P92" s="160" t="n">
        <v>5.52</v>
      </c>
      <c r="Q92" s="161" t="n">
        <v>3.81</v>
      </c>
      <c r="R92" s="162" t="n">
        <v>2.89</v>
      </c>
      <c r="S92" s="160" t="n">
        <v>8.6</v>
      </c>
      <c r="T92" s="161" t="n">
        <v>6.82</v>
      </c>
      <c r="U92" s="162" t="n">
        <v>5.93</v>
      </c>
      <c r="V92" s="146" t="n"/>
      <c r="W92" s="160" t="n">
        <v>7.63</v>
      </c>
      <c r="X92" s="161" t="n">
        <v>2.44</v>
      </c>
      <c r="Y92" s="162" t="n">
        <v>1.75</v>
      </c>
      <c r="Z92" s="160" t="n">
        <v>8.44</v>
      </c>
      <c r="AA92" s="161" t="n">
        <v>3.06</v>
      </c>
      <c r="AB92" s="162" t="n">
        <v>2.37</v>
      </c>
      <c r="AC92" s="160" t="n">
        <v>8.44</v>
      </c>
      <c r="AD92" s="161" t="n">
        <v>3.06</v>
      </c>
      <c r="AE92" s="162" t="n">
        <v>2.37</v>
      </c>
      <c r="AF92" s="146" t="n"/>
      <c r="AG92" s="160" t="n">
        <v>24.5</v>
      </c>
      <c r="AH92" s="161" t="n">
        <v>39</v>
      </c>
      <c r="AI92" s="162" t="n">
        <v>29.1</v>
      </c>
      <c r="AJ92" s="160" t="n">
        <v>49.2</v>
      </c>
      <c r="AK92" s="161" t="n">
        <v>63</v>
      </c>
      <c r="AL92" s="162" t="n">
        <v>53.1</v>
      </c>
      <c r="AM92" s="160" t="n">
        <v>98.59999999999999</v>
      </c>
      <c r="AN92" s="161" t="n">
        <v>111</v>
      </c>
      <c r="AO92" s="162" t="n">
        <v>101.1</v>
      </c>
      <c r="AP92" s="146" t="n"/>
      <c r="AQ92" s="160" t="n">
        <v>98.40000000000001</v>
      </c>
      <c r="AR92" s="162" t="n">
        <v>99</v>
      </c>
      <c r="AS92" s="160" t="n">
        <v>128.1</v>
      </c>
      <c r="AT92" s="162" t="n">
        <v>129.2</v>
      </c>
      <c r="AU92" s="160" t="n">
        <v>187.6</v>
      </c>
      <c r="AV92" s="162" t="n">
        <v>189.7</v>
      </c>
      <c r="AW92" s="147" t="n"/>
    </row>
    <row r="93">
      <c r="A93" s="150" t="n"/>
      <c r="B93" s="159" t="n">
        <v>2093</v>
      </c>
      <c r="C93" s="160" t="n">
        <v>19.1</v>
      </c>
      <c r="D93" s="161" t="n">
        <v>11.59</v>
      </c>
      <c r="E93" s="162" t="n">
        <v>10.26</v>
      </c>
      <c r="F93" s="160" t="n">
        <v>20.3</v>
      </c>
      <c r="G93" s="161" t="n">
        <v>12.11</v>
      </c>
      <c r="H93" s="162" t="n">
        <v>11.4</v>
      </c>
      <c r="I93" s="160" t="n">
        <v>21.56</v>
      </c>
      <c r="J93" s="161" t="n">
        <v>13.05</v>
      </c>
      <c r="K93" s="162" t="n">
        <v>13.04</v>
      </c>
      <c r="L93" s="146" t="n"/>
      <c r="M93" s="160" t="n">
        <v>3.78</v>
      </c>
      <c r="N93" s="161" t="n">
        <v>2.11</v>
      </c>
      <c r="O93" s="162" t="n">
        <v>1.18</v>
      </c>
      <c r="P93" s="160" t="n">
        <v>5.52</v>
      </c>
      <c r="Q93" s="161" t="n">
        <v>3.81</v>
      </c>
      <c r="R93" s="162" t="n">
        <v>2.89</v>
      </c>
      <c r="S93" s="160" t="n">
        <v>8.6</v>
      </c>
      <c r="T93" s="161" t="n">
        <v>6.82</v>
      </c>
      <c r="U93" s="162" t="n">
        <v>5.93</v>
      </c>
      <c r="V93" s="146" t="n"/>
      <c r="W93" s="160" t="n">
        <v>7.63</v>
      </c>
      <c r="X93" s="161" t="n">
        <v>2.43</v>
      </c>
      <c r="Y93" s="162" t="n">
        <v>1.75</v>
      </c>
      <c r="Z93" s="160" t="n">
        <v>8.44</v>
      </c>
      <c r="AA93" s="161" t="n">
        <v>3.05</v>
      </c>
      <c r="AB93" s="162" t="n">
        <v>2.37</v>
      </c>
      <c r="AC93" s="160" t="n">
        <v>8.44</v>
      </c>
      <c r="AD93" s="161" t="n">
        <v>3.05</v>
      </c>
      <c r="AE93" s="162" t="n">
        <v>2.37</v>
      </c>
      <c r="AF93" s="146" t="n"/>
      <c r="AG93" s="160" t="n">
        <v>24.5</v>
      </c>
      <c r="AH93" s="161" t="n">
        <v>38.9</v>
      </c>
      <c r="AI93" s="162" t="n">
        <v>29</v>
      </c>
      <c r="AJ93" s="160" t="n">
        <v>49.2</v>
      </c>
      <c r="AK93" s="161" t="n">
        <v>62.9</v>
      </c>
      <c r="AL93" s="162" t="n">
        <v>53</v>
      </c>
      <c r="AM93" s="160" t="n">
        <v>98.59999999999999</v>
      </c>
      <c r="AN93" s="161" t="n">
        <v>111</v>
      </c>
      <c r="AO93" s="162" t="n">
        <v>101.1</v>
      </c>
      <c r="AP93" s="146" t="n"/>
      <c r="AQ93" s="160" t="n">
        <v>98.2</v>
      </c>
      <c r="AR93" s="162" t="n">
        <v>98.90000000000001</v>
      </c>
      <c r="AS93" s="160" t="n">
        <v>128</v>
      </c>
      <c r="AT93" s="162" t="n">
        <v>129.1</v>
      </c>
      <c r="AU93" s="160" t="n">
        <v>187.5</v>
      </c>
      <c r="AV93" s="162" t="n">
        <v>189.5</v>
      </c>
      <c r="AW93" s="147" t="n"/>
    </row>
    <row r="94">
      <c r="A94" s="150" t="n"/>
      <c r="B94" s="159" t="n">
        <v>2094</v>
      </c>
      <c r="C94" s="160" t="n">
        <v>19.1</v>
      </c>
      <c r="D94" s="161" t="n">
        <v>11.59</v>
      </c>
      <c r="E94" s="162" t="n">
        <v>10.26</v>
      </c>
      <c r="F94" s="160" t="n">
        <v>20.3</v>
      </c>
      <c r="G94" s="161" t="n">
        <v>12.11</v>
      </c>
      <c r="H94" s="162" t="n">
        <v>11.4</v>
      </c>
      <c r="I94" s="160" t="n">
        <v>21.56</v>
      </c>
      <c r="J94" s="161" t="n">
        <v>13.05</v>
      </c>
      <c r="K94" s="162" t="n">
        <v>13.04</v>
      </c>
      <c r="L94" s="146" t="n"/>
      <c r="M94" s="160" t="n">
        <v>3.78</v>
      </c>
      <c r="N94" s="161" t="n">
        <v>2.11</v>
      </c>
      <c r="O94" s="162" t="n">
        <v>1.18</v>
      </c>
      <c r="P94" s="160" t="n">
        <v>5.52</v>
      </c>
      <c r="Q94" s="161" t="n">
        <v>3.81</v>
      </c>
      <c r="R94" s="162" t="n">
        <v>2.89</v>
      </c>
      <c r="S94" s="160" t="n">
        <v>8.6</v>
      </c>
      <c r="T94" s="161" t="n">
        <v>6.82</v>
      </c>
      <c r="U94" s="162" t="n">
        <v>5.93</v>
      </c>
      <c r="V94" s="146" t="n"/>
      <c r="W94" s="160" t="n">
        <v>7.63</v>
      </c>
      <c r="X94" s="161" t="n">
        <v>2.43</v>
      </c>
      <c r="Y94" s="162" t="n">
        <v>1.75</v>
      </c>
      <c r="Z94" s="160" t="n">
        <v>8.44</v>
      </c>
      <c r="AA94" s="161" t="n">
        <v>3.05</v>
      </c>
      <c r="AB94" s="162" t="n">
        <v>2.37</v>
      </c>
      <c r="AC94" s="160" t="n">
        <v>8.44</v>
      </c>
      <c r="AD94" s="161" t="n">
        <v>3.05</v>
      </c>
      <c r="AE94" s="162" t="n">
        <v>2.37</v>
      </c>
      <c r="AF94" s="146" t="n"/>
      <c r="AG94" s="160" t="n">
        <v>24.5</v>
      </c>
      <c r="AH94" s="161" t="n">
        <v>38.9</v>
      </c>
      <c r="AI94" s="162" t="n">
        <v>29</v>
      </c>
      <c r="AJ94" s="160" t="n">
        <v>49.2</v>
      </c>
      <c r="AK94" s="161" t="n">
        <v>62.9</v>
      </c>
      <c r="AL94" s="162" t="n">
        <v>53</v>
      </c>
      <c r="AM94" s="160" t="n">
        <v>98.59999999999999</v>
      </c>
      <c r="AN94" s="161" t="n">
        <v>111</v>
      </c>
      <c r="AO94" s="162" t="n">
        <v>101.1</v>
      </c>
      <c r="AP94" s="146" t="n"/>
      <c r="AQ94" s="160" t="n">
        <v>98</v>
      </c>
      <c r="AR94" s="162" t="n">
        <v>98.7</v>
      </c>
      <c r="AS94" s="160" t="n">
        <v>127.8</v>
      </c>
      <c r="AT94" s="162" t="n">
        <v>128.9</v>
      </c>
      <c r="AU94" s="160" t="n">
        <v>187.3</v>
      </c>
      <c r="AV94" s="162" t="n">
        <v>189.3</v>
      </c>
      <c r="AW94" s="147" t="n"/>
    </row>
    <row r="95">
      <c r="A95" s="150" t="n"/>
      <c r="B95" s="159" t="n">
        <v>2095</v>
      </c>
      <c r="C95" s="160" t="n">
        <v>19.1</v>
      </c>
      <c r="D95" s="161" t="n">
        <v>11.59</v>
      </c>
      <c r="E95" s="162" t="n">
        <v>10.26</v>
      </c>
      <c r="F95" s="160" t="n">
        <v>20.3</v>
      </c>
      <c r="G95" s="161" t="n">
        <v>12.11</v>
      </c>
      <c r="H95" s="162" t="n">
        <v>11.4</v>
      </c>
      <c r="I95" s="160" t="n">
        <v>21.56</v>
      </c>
      <c r="J95" s="161" t="n">
        <v>13.05</v>
      </c>
      <c r="K95" s="162" t="n">
        <v>13.04</v>
      </c>
      <c r="L95" s="146" t="n"/>
      <c r="M95" s="160" t="n">
        <v>3.78</v>
      </c>
      <c r="N95" s="161" t="n">
        <v>2.11</v>
      </c>
      <c r="O95" s="162" t="n">
        <v>1.18</v>
      </c>
      <c r="P95" s="160" t="n">
        <v>5.52</v>
      </c>
      <c r="Q95" s="161" t="n">
        <v>3.81</v>
      </c>
      <c r="R95" s="162" t="n">
        <v>2.89</v>
      </c>
      <c r="S95" s="160" t="n">
        <v>8.6</v>
      </c>
      <c r="T95" s="161" t="n">
        <v>6.82</v>
      </c>
      <c r="U95" s="162" t="n">
        <v>5.93</v>
      </c>
      <c r="V95" s="146" t="n"/>
      <c r="W95" s="160" t="n">
        <v>7.63</v>
      </c>
      <c r="X95" s="161" t="n">
        <v>2.43</v>
      </c>
      <c r="Y95" s="162" t="n">
        <v>1.75</v>
      </c>
      <c r="Z95" s="160" t="n">
        <v>8.44</v>
      </c>
      <c r="AA95" s="161" t="n">
        <v>3.05</v>
      </c>
      <c r="AB95" s="162" t="n">
        <v>2.37</v>
      </c>
      <c r="AC95" s="160" t="n">
        <v>8.44</v>
      </c>
      <c r="AD95" s="161" t="n">
        <v>3.05</v>
      </c>
      <c r="AE95" s="162" t="n">
        <v>2.37</v>
      </c>
      <c r="AF95" s="146" t="n"/>
      <c r="AG95" s="160" t="n">
        <v>24.5</v>
      </c>
      <c r="AH95" s="161" t="n">
        <v>38.9</v>
      </c>
      <c r="AI95" s="162" t="n">
        <v>29</v>
      </c>
      <c r="AJ95" s="160" t="n">
        <v>49.2</v>
      </c>
      <c r="AK95" s="161" t="n">
        <v>62.9</v>
      </c>
      <c r="AL95" s="162" t="n">
        <v>53</v>
      </c>
      <c r="AM95" s="160" t="n">
        <v>98.59999999999999</v>
      </c>
      <c r="AN95" s="161" t="n">
        <v>110.9</v>
      </c>
      <c r="AO95" s="162" t="n">
        <v>101</v>
      </c>
      <c r="AP95" s="146" t="n"/>
      <c r="AQ95" s="160" t="n">
        <v>97.90000000000001</v>
      </c>
      <c r="AR95" s="162" t="n">
        <v>98.5</v>
      </c>
      <c r="AS95" s="160" t="n">
        <v>127.6</v>
      </c>
      <c r="AT95" s="162" t="n">
        <v>128.7</v>
      </c>
      <c r="AU95" s="160" t="n">
        <v>187.1</v>
      </c>
      <c r="AV95" s="162" t="n">
        <v>189.2</v>
      </c>
      <c r="AW95" s="147" t="n"/>
    </row>
    <row r="96">
      <c r="A96" s="150" t="n"/>
      <c r="B96" s="159" t="n">
        <v>2096</v>
      </c>
      <c r="C96" s="160" t="n">
        <v>19.1</v>
      </c>
      <c r="D96" s="161" t="n">
        <v>11.59</v>
      </c>
      <c r="E96" s="162" t="n">
        <v>10.26</v>
      </c>
      <c r="F96" s="160" t="n">
        <v>20.3</v>
      </c>
      <c r="G96" s="161" t="n">
        <v>12.11</v>
      </c>
      <c r="H96" s="162" t="n">
        <v>11.4</v>
      </c>
      <c r="I96" s="160" t="n">
        <v>21.56</v>
      </c>
      <c r="J96" s="161" t="n">
        <v>13.05</v>
      </c>
      <c r="K96" s="162" t="n">
        <v>13.04</v>
      </c>
      <c r="L96" s="146" t="n"/>
      <c r="M96" s="160" t="n">
        <v>3.78</v>
      </c>
      <c r="N96" s="161" t="n">
        <v>2.11</v>
      </c>
      <c r="O96" s="162" t="n">
        <v>1.18</v>
      </c>
      <c r="P96" s="160" t="n">
        <v>5.52</v>
      </c>
      <c r="Q96" s="161" t="n">
        <v>3.81</v>
      </c>
      <c r="R96" s="162" t="n">
        <v>2.89</v>
      </c>
      <c r="S96" s="160" t="n">
        <v>8.6</v>
      </c>
      <c r="T96" s="161" t="n">
        <v>6.82</v>
      </c>
      <c r="U96" s="162" t="n">
        <v>5.93</v>
      </c>
      <c r="V96" s="146" t="n"/>
      <c r="W96" s="160" t="n">
        <v>7.63</v>
      </c>
      <c r="X96" s="161" t="n">
        <v>2.43</v>
      </c>
      <c r="Y96" s="162" t="n">
        <v>1.74</v>
      </c>
      <c r="Z96" s="160" t="n">
        <v>8.44</v>
      </c>
      <c r="AA96" s="161" t="n">
        <v>3.05</v>
      </c>
      <c r="AB96" s="162" t="n">
        <v>2.37</v>
      </c>
      <c r="AC96" s="160" t="n">
        <v>8.44</v>
      </c>
      <c r="AD96" s="161" t="n">
        <v>3.05</v>
      </c>
      <c r="AE96" s="162" t="n">
        <v>2.37</v>
      </c>
      <c r="AF96" s="146" t="n"/>
      <c r="AG96" s="160" t="n">
        <v>24.5</v>
      </c>
      <c r="AH96" s="161" t="n">
        <v>38.9</v>
      </c>
      <c r="AI96" s="162" t="n">
        <v>29</v>
      </c>
      <c r="AJ96" s="160" t="n">
        <v>49.2</v>
      </c>
      <c r="AK96" s="161" t="n">
        <v>62.9</v>
      </c>
      <c r="AL96" s="162" t="n">
        <v>53</v>
      </c>
      <c r="AM96" s="160" t="n">
        <v>98.59999999999999</v>
      </c>
      <c r="AN96" s="161" t="n">
        <v>110.9</v>
      </c>
      <c r="AO96" s="162" t="n">
        <v>101</v>
      </c>
      <c r="AP96" s="146" t="n"/>
      <c r="AQ96" s="160" t="n">
        <v>97.7</v>
      </c>
      <c r="AR96" s="162" t="n">
        <v>98.40000000000001</v>
      </c>
      <c r="AS96" s="160" t="n">
        <v>127.5</v>
      </c>
      <c r="AT96" s="162" t="n">
        <v>128.6</v>
      </c>
      <c r="AU96" s="160" t="n">
        <v>187</v>
      </c>
      <c r="AV96" s="162" t="n">
        <v>189</v>
      </c>
      <c r="AW96" s="147" t="n"/>
    </row>
    <row r="97">
      <c r="A97" s="150" t="n"/>
      <c r="B97" s="159" t="n">
        <v>2097</v>
      </c>
      <c r="C97" s="160" t="n">
        <v>19.1</v>
      </c>
      <c r="D97" s="161" t="n">
        <v>11.59</v>
      </c>
      <c r="E97" s="162" t="n">
        <v>10.26</v>
      </c>
      <c r="F97" s="160" t="n">
        <v>20.3</v>
      </c>
      <c r="G97" s="161" t="n">
        <v>12.11</v>
      </c>
      <c r="H97" s="162" t="n">
        <v>11.4</v>
      </c>
      <c r="I97" s="160" t="n">
        <v>21.56</v>
      </c>
      <c r="J97" s="161" t="n">
        <v>13.05</v>
      </c>
      <c r="K97" s="162" t="n">
        <v>13.04</v>
      </c>
      <c r="L97" s="146" t="n"/>
      <c r="M97" s="160" t="n">
        <v>3.78</v>
      </c>
      <c r="N97" s="161" t="n">
        <v>2.11</v>
      </c>
      <c r="O97" s="162" t="n">
        <v>1.18</v>
      </c>
      <c r="P97" s="160" t="n">
        <v>5.52</v>
      </c>
      <c r="Q97" s="161" t="n">
        <v>3.81</v>
      </c>
      <c r="R97" s="162" t="n">
        <v>2.89</v>
      </c>
      <c r="S97" s="160" t="n">
        <v>8.6</v>
      </c>
      <c r="T97" s="161" t="n">
        <v>6.82</v>
      </c>
      <c r="U97" s="162" t="n">
        <v>5.93</v>
      </c>
      <c r="V97" s="146" t="n"/>
      <c r="W97" s="160" t="n">
        <v>7.63</v>
      </c>
      <c r="X97" s="161" t="n">
        <v>2.42</v>
      </c>
      <c r="Y97" s="162" t="n">
        <v>1.74</v>
      </c>
      <c r="Z97" s="160" t="n">
        <v>8.44</v>
      </c>
      <c r="AA97" s="161" t="n">
        <v>3.04</v>
      </c>
      <c r="AB97" s="162" t="n">
        <v>2.36</v>
      </c>
      <c r="AC97" s="160" t="n">
        <v>8.44</v>
      </c>
      <c r="AD97" s="161" t="n">
        <v>3.04</v>
      </c>
      <c r="AE97" s="162" t="n">
        <v>2.36</v>
      </c>
      <c r="AF97" s="146" t="n"/>
      <c r="AG97" s="160" t="n">
        <v>24.5</v>
      </c>
      <c r="AH97" s="161" t="n">
        <v>38.8</v>
      </c>
      <c r="AI97" s="162" t="n">
        <v>28.9</v>
      </c>
      <c r="AJ97" s="160" t="n">
        <v>49.2</v>
      </c>
      <c r="AK97" s="161" t="n">
        <v>62.9</v>
      </c>
      <c r="AL97" s="162" t="n">
        <v>52.9</v>
      </c>
      <c r="AM97" s="160" t="n">
        <v>98.59999999999999</v>
      </c>
      <c r="AN97" s="161" t="n">
        <v>110.9</v>
      </c>
      <c r="AO97" s="162" t="n">
        <v>101</v>
      </c>
      <c r="AP97" s="146" t="n"/>
      <c r="AQ97" s="160" t="n">
        <v>97.5</v>
      </c>
      <c r="AR97" s="162" t="n">
        <v>98.2</v>
      </c>
      <c r="AS97" s="160" t="n">
        <v>127.3</v>
      </c>
      <c r="AT97" s="162" t="n">
        <v>128.4</v>
      </c>
      <c r="AU97" s="160" t="n">
        <v>186.8</v>
      </c>
      <c r="AV97" s="162" t="n">
        <v>188.8</v>
      </c>
      <c r="AW97" s="147" t="n"/>
    </row>
    <row r="98">
      <c r="A98" s="150" t="n"/>
      <c r="B98" s="159" t="n">
        <v>2098</v>
      </c>
      <c r="C98" s="160" t="n">
        <v>19.1</v>
      </c>
      <c r="D98" s="161" t="n">
        <v>11.59</v>
      </c>
      <c r="E98" s="162" t="n">
        <v>10.26</v>
      </c>
      <c r="F98" s="160" t="n">
        <v>20.3</v>
      </c>
      <c r="G98" s="161" t="n">
        <v>12.11</v>
      </c>
      <c r="H98" s="162" t="n">
        <v>11.4</v>
      </c>
      <c r="I98" s="160" t="n">
        <v>21.56</v>
      </c>
      <c r="J98" s="161" t="n">
        <v>13.05</v>
      </c>
      <c r="K98" s="162" t="n">
        <v>13.04</v>
      </c>
      <c r="L98" s="146" t="n"/>
      <c r="M98" s="160" t="n">
        <v>3.78</v>
      </c>
      <c r="N98" s="161" t="n">
        <v>2.11</v>
      </c>
      <c r="O98" s="162" t="n">
        <v>1.18</v>
      </c>
      <c r="P98" s="160" t="n">
        <v>5.52</v>
      </c>
      <c r="Q98" s="161" t="n">
        <v>3.81</v>
      </c>
      <c r="R98" s="162" t="n">
        <v>2.89</v>
      </c>
      <c r="S98" s="160" t="n">
        <v>8.6</v>
      </c>
      <c r="T98" s="161" t="n">
        <v>6.82</v>
      </c>
      <c r="U98" s="162" t="n">
        <v>5.93</v>
      </c>
      <c r="V98" s="146" t="n"/>
      <c r="W98" s="160" t="n">
        <v>7.63</v>
      </c>
      <c r="X98" s="161" t="n">
        <v>2.42</v>
      </c>
      <c r="Y98" s="162" t="n">
        <v>1.74</v>
      </c>
      <c r="Z98" s="160" t="n">
        <v>8.44</v>
      </c>
      <c r="AA98" s="161" t="n">
        <v>3.04</v>
      </c>
      <c r="AB98" s="162" t="n">
        <v>2.36</v>
      </c>
      <c r="AC98" s="160" t="n">
        <v>8.44</v>
      </c>
      <c r="AD98" s="161" t="n">
        <v>3.04</v>
      </c>
      <c r="AE98" s="162" t="n">
        <v>2.36</v>
      </c>
      <c r="AF98" s="146" t="n"/>
      <c r="AG98" s="160" t="n">
        <v>24.5</v>
      </c>
      <c r="AH98" s="161" t="n">
        <v>38.8</v>
      </c>
      <c r="AI98" s="162" t="n">
        <v>28.9</v>
      </c>
      <c r="AJ98" s="160" t="n">
        <v>49.2</v>
      </c>
      <c r="AK98" s="161" t="n">
        <v>62.8</v>
      </c>
      <c r="AL98" s="162" t="n">
        <v>52.9</v>
      </c>
      <c r="AM98" s="160" t="n">
        <v>98.59999999999999</v>
      </c>
      <c r="AN98" s="161" t="n">
        <v>110.9</v>
      </c>
      <c r="AO98" s="162" t="n">
        <v>101</v>
      </c>
      <c r="AP98" s="146" t="n"/>
      <c r="AQ98" s="160" t="n">
        <v>97.40000000000001</v>
      </c>
      <c r="AR98" s="162" t="n">
        <v>98</v>
      </c>
      <c r="AS98" s="160" t="n">
        <v>127.1</v>
      </c>
      <c r="AT98" s="162" t="n">
        <v>128.2</v>
      </c>
      <c r="AU98" s="160" t="n">
        <v>186.6</v>
      </c>
      <c r="AV98" s="162" t="n">
        <v>188.7</v>
      </c>
      <c r="AW98" s="147" t="n"/>
    </row>
    <row r="99">
      <c r="A99" s="150" t="n"/>
      <c r="B99" s="159" t="n">
        <v>2099</v>
      </c>
      <c r="C99" s="160" t="n">
        <v>19.1</v>
      </c>
      <c r="D99" s="161" t="n">
        <v>11.59</v>
      </c>
      <c r="E99" s="162" t="n">
        <v>10.26</v>
      </c>
      <c r="F99" s="160" t="n">
        <v>20.3</v>
      </c>
      <c r="G99" s="161" t="n">
        <v>12.11</v>
      </c>
      <c r="H99" s="162" t="n">
        <v>11.4</v>
      </c>
      <c r="I99" s="160" t="n">
        <v>21.56</v>
      </c>
      <c r="J99" s="161" t="n">
        <v>13.05</v>
      </c>
      <c r="K99" s="162" t="n">
        <v>13.04</v>
      </c>
      <c r="L99" s="146" t="n"/>
      <c r="M99" s="160" t="n">
        <v>3.78</v>
      </c>
      <c r="N99" s="161" t="n">
        <v>2.11</v>
      </c>
      <c r="O99" s="162" t="n">
        <v>1.18</v>
      </c>
      <c r="P99" s="160" t="n">
        <v>5.52</v>
      </c>
      <c r="Q99" s="161" t="n">
        <v>3.81</v>
      </c>
      <c r="R99" s="162" t="n">
        <v>2.89</v>
      </c>
      <c r="S99" s="160" t="n">
        <v>8.6</v>
      </c>
      <c r="T99" s="161" t="n">
        <v>6.82</v>
      </c>
      <c r="U99" s="162" t="n">
        <v>5.93</v>
      </c>
      <c r="V99" s="146" t="n"/>
      <c r="W99" s="160" t="n">
        <v>7.63</v>
      </c>
      <c r="X99" s="161" t="n">
        <v>2.42</v>
      </c>
      <c r="Y99" s="162" t="n">
        <v>1.74</v>
      </c>
      <c r="Z99" s="160" t="n">
        <v>8.44</v>
      </c>
      <c r="AA99" s="161" t="n">
        <v>3.04</v>
      </c>
      <c r="AB99" s="162" t="n">
        <v>2.36</v>
      </c>
      <c r="AC99" s="160" t="n">
        <v>8.44</v>
      </c>
      <c r="AD99" s="161" t="n">
        <v>3.04</v>
      </c>
      <c r="AE99" s="162" t="n">
        <v>2.36</v>
      </c>
      <c r="AF99" s="146" t="n"/>
      <c r="AG99" s="160" t="n">
        <v>24.5</v>
      </c>
      <c r="AH99" s="161" t="n">
        <v>38.8</v>
      </c>
      <c r="AI99" s="162" t="n">
        <v>28.9</v>
      </c>
      <c r="AJ99" s="160" t="n">
        <v>49.2</v>
      </c>
      <c r="AK99" s="161" t="n">
        <v>62.8</v>
      </c>
      <c r="AL99" s="162" t="n">
        <v>52.9</v>
      </c>
      <c r="AM99" s="160" t="n">
        <v>98.59999999999999</v>
      </c>
      <c r="AN99" s="161" t="n">
        <v>110.8</v>
      </c>
      <c r="AO99" s="162" t="n">
        <v>100.9</v>
      </c>
      <c r="AP99" s="146" t="n"/>
      <c r="AQ99" s="160" t="n">
        <v>97.2</v>
      </c>
      <c r="AR99" s="162" t="n">
        <v>97.90000000000001</v>
      </c>
      <c r="AS99" s="160" t="n">
        <v>126.9</v>
      </c>
      <c r="AT99" s="162" t="n">
        <v>128.1</v>
      </c>
      <c r="AU99" s="160" t="n">
        <v>186.5</v>
      </c>
      <c r="AV99" s="162" t="n">
        <v>188.5</v>
      </c>
      <c r="AW99" s="147" t="n"/>
    </row>
    <row r="100">
      <c r="A100" s="150" t="n"/>
      <c r="B100" s="163" t="n">
        <v>2100</v>
      </c>
      <c r="C100" s="164" t="n">
        <v>19.1</v>
      </c>
      <c r="D100" s="165" t="n">
        <v>11.59</v>
      </c>
      <c r="E100" s="166" t="n">
        <v>10.26</v>
      </c>
      <c r="F100" s="164" t="n">
        <v>20.3</v>
      </c>
      <c r="G100" s="165" t="n">
        <v>12.11</v>
      </c>
      <c r="H100" s="166" t="n">
        <v>11.4</v>
      </c>
      <c r="I100" s="164" t="n">
        <v>21.56</v>
      </c>
      <c r="J100" s="165" t="n">
        <v>13.05</v>
      </c>
      <c r="K100" s="166" t="n">
        <v>13.04</v>
      </c>
      <c r="L100" s="146" t="n"/>
      <c r="M100" s="164" t="n">
        <v>3.78</v>
      </c>
      <c r="N100" s="165" t="n">
        <v>2.11</v>
      </c>
      <c r="O100" s="166" t="n">
        <v>1.18</v>
      </c>
      <c r="P100" s="164" t="n">
        <v>5.52</v>
      </c>
      <c r="Q100" s="165" t="n">
        <v>3.81</v>
      </c>
      <c r="R100" s="166" t="n">
        <v>2.89</v>
      </c>
      <c r="S100" s="164" t="n">
        <v>8.6</v>
      </c>
      <c r="T100" s="165" t="n">
        <v>6.82</v>
      </c>
      <c r="U100" s="166" t="n">
        <v>5.93</v>
      </c>
      <c r="V100" s="146" t="n"/>
      <c r="W100" s="164" t="n">
        <v>7.63</v>
      </c>
      <c r="X100" s="165" t="n">
        <v>2.42</v>
      </c>
      <c r="Y100" s="166" t="n">
        <v>1.74</v>
      </c>
      <c r="Z100" s="164" t="n">
        <v>8.44</v>
      </c>
      <c r="AA100" s="165" t="n">
        <v>3.04</v>
      </c>
      <c r="AB100" s="166" t="n">
        <v>2.36</v>
      </c>
      <c r="AC100" s="164" t="n">
        <v>8.44</v>
      </c>
      <c r="AD100" s="165" t="n">
        <v>3.04</v>
      </c>
      <c r="AE100" s="166" t="n">
        <v>2.36</v>
      </c>
      <c r="AF100" s="146" t="n"/>
      <c r="AG100" s="164" t="n">
        <v>24.5</v>
      </c>
      <c r="AH100" s="165" t="n">
        <v>38.8</v>
      </c>
      <c r="AI100" s="166" t="n">
        <v>28.9</v>
      </c>
      <c r="AJ100" s="164" t="n">
        <v>49.2</v>
      </c>
      <c r="AK100" s="165" t="n">
        <v>62.8</v>
      </c>
      <c r="AL100" s="166" t="n">
        <v>52.9</v>
      </c>
      <c r="AM100" s="164" t="n">
        <v>98.59999999999999</v>
      </c>
      <c r="AN100" s="165" t="n">
        <v>110.8</v>
      </c>
      <c r="AO100" s="166" t="n">
        <v>100.9</v>
      </c>
      <c r="AP100" s="146" t="n"/>
      <c r="AQ100" s="164" t="n">
        <v>97</v>
      </c>
      <c r="AR100" s="166" t="n">
        <v>97.7</v>
      </c>
      <c r="AS100" s="164" t="n">
        <v>126.8</v>
      </c>
      <c r="AT100" s="166" t="n">
        <v>127.9</v>
      </c>
      <c r="AU100" s="164" t="n">
        <v>186.3</v>
      </c>
      <c r="AV100" s="166" t="n">
        <v>188.3</v>
      </c>
      <c r="AW100" s="147" t="n"/>
    </row>
    <row r="101">
      <c r="A101" s="83" t="n"/>
      <c r="B101" s="167" t="n"/>
      <c r="C101" s="167" t="n"/>
      <c r="D101" s="167" t="n"/>
      <c r="E101" s="167" t="n"/>
      <c r="F101" s="167" t="n"/>
      <c r="G101" s="167" t="n"/>
      <c r="H101" s="167" t="n"/>
      <c r="I101" s="167" t="n"/>
      <c r="J101" s="167" t="n"/>
      <c r="K101" s="167" t="n"/>
      <c r="L101" s="169" t="n"/>
      <c r="M101" s="167" t="n"/>
      <c r="N101" s="167" t="n"/>
      <c r="O101" s="167" t="n"/>
      <c r="P101" s="167" t="n"/>
      <c r="Q101" s="167" t="n"/>
      <c r="R101" s="167" t="n"/>
      <c r="S101" s="167" t="n"/>
      <c r="T101" s="167" t="n"/>
      <c r="U101" s="167" t="n"/>
      <c r="V101" s="169" t="n"/>
      <c r="W101" s="167" t="n"/>
      <c r="X101" s="167" t="n"/>
      <c r="Y101" s="167" t="n"/>
      <c r="Z101" s="167" t="n"/>
      <c r="AA101" s="167" t="n"/>
      <c r="AB101" s="167" t="n"/>
      <c r="AC101" s="167" t="n"/>
      <c r="AD101" s="167" t="n"/>
      <c r="AE101" s="167" t="n"/>
      <c r="AF101" s="169" t="n"/>
      <c r="AG101" s="167" t="n"/>
      <c r="AH101" s="167" t="n"/>
      <c r="AI101" s="167" t="n"/>
      <c r="AJ101" s="167" t="n"/>
      <c r="AK101" s="167" t="n"/>
      <c r="AL101" s="167" t="n"/>
      <c r="AM101" s="167" t="n"/>
      <c r="AN101" s="167" t="n"/>
      <c r="AO101" s="167" t="n"/>
      <c r="AP101" s="169" t="n"/>
      <c r="AQ101" s="167" t="n"/>
      <c r="AR101" s="167" t="n"/>
      <c r="AS101" s="167" t="n"/>
      <c r="AT101" s="167" t="n"/>
      <c r="AU101" s="167" t="n"/>
      <c r="AV101" s="167" t="n"/>
      <c r="AW101" s="85" t="n"/>
    </row>
    <row r="102">
      <c r="A102" s="83" t="n"/>
      <c r="B102" s="168" t="inlineStr">
        <is>
          <t>Note 1: Non-domestic prices are inclusive of Climate Change Levy</t>
        </is>
      </c>
      <c r="C102" s="169" t="n"/>
      <c r="D102" s="169" t="n"/>
      <c r="E102" s="169" t="n"/>
      <c r="F102" s="169" t="n"/>
      <c r="G102" s="169" t="n"/>
      <c r="H102" s="169" t="n"/>
      <c r="I102" s="169" t="n"/>
      <c r="J102" s="169" t="n"/>
      <c r="K102" s="169" t="n"/>
      <c r="L102" s="169" t="n"/>
      <c r="M102" s="169" t="n"/>
      <c r="N102" s="169" t="n"/>
      <c r="O102" s="169" t="n"/>
      <c r="P102" s="169" t="n"/>
      <c r="Q102" s="169" t="n"/>
      <c r="R102" s="169" t="n"/>
      <c r="S102" s="169" t="n"/>
      <c r="T102" s="169" t="n"/>
      <c r="U102" s="169" t="n"/>
      <c r="V102" s="169" t="n"/>
      <c r="W102" s="169" t="n"/>
      <c r="X102" s="169" t="n"/>
      <c r="Y102" s="169" t="n"/>
      <c r="Z102" s="169" t="n"/>
      <c r="AA102" s="169" t="n"/>
      <c r="AB102" s="169" t="n"/>
      <c r="AC102" s="169" t="n"/>
      <c r="AD102" s="169" t="n"/>
      <c r="AE102" s="169" t="n"/>
      <c r="AF102" s="169" t="n"/>
      <c r="AG102" s="169" t="n"/>
      <c r="AH102" s="169" t="n"/>
      <c r="AI102" s="169" t="n"/>
      <c r="AJ102" s="169" t="n"/>
      <c r="AK102" s="169" t="n"/>
      <c r="AL102" s="169" t="n"/>
      <c r="AM102" s="169" t="n"/>
      <c r="AN102" s="169" t="n"/>
      <c r="AO102" s="169" t="n"/>
      <c r="AP102" s="169" t="n"/>
      <c r="AQ102" s="168" t="inlineStr">
        <is>
          <t>Notes:</t>
        </is>
      </c>
      <c r="AR102" s="169" t="n"/>
      <c r="AS102" s="169" t="n"/>
      <c r="AT102" s="169" t="n"/>
      <c r="AU102" s="169" t="n"/>
      <c r="AV102" s="169" t="n"/>
      <c r="AW102" s="85" t="n"/>
    </row>
    <row r="103">
      <c r="A103" s="83" t="n"/>
      <c r="B103" s="168" t="inlineStr">
        <is>
          <t>Note 2: The retail prices/long run variable costs for gas are based on internal DESNZmodelling including the fossil fuel price assumptions, where more information can be found at https://www.gov.uk/government/collections/fossil-fuel-price-assumptions.</t>
        </is>
      </c>
      <c r="C103" s="169" t="n"/>
      <c r="D103" s="169" t="n"/>
      <c r="E103" s="169" t="n"/>
      <c r="F103" s="169" t="n"/>
      <c r="G103" s="169" t="n"/>
      <c r="H103" s="169" t="n"/>
      <c r="I103" s="169" t="n"/>
      <c r="J103" s="169" t="n"/>
      <c r="K103" s="169" t="n"/>
      <c r="L103" s="169" t="n"/>
      <c r="M103" s="169" t="n"/>
      <c r="N103" s="169" t="n"/>
      <c r="O103" s="169" t="n"/>
      <c r="P103" s="169" t="n"/>
      <c r="Q103" s="169" t="n"/>
      <c r="R103" s="169" t="n"/>
      <c r="S103" s="169" t="n"/>
      <c r="T103" s="169" t="n"/>
      <c r="U103" s="169" t="n"/>
      <c r="V103" s="169" t="n"/>
      <c r="W103" s="169" t="n"/>
      <c r="X103" s="169" t="n"/>
      <c r="Y103" s="169" t="n"/>
      <c r="Z103" s="169" t="n"/>
      <c r="AA103" s="169" t="n"/>
      <c r="AB103" s="169" t="n"/>
      <c r="AC103" s="169" t="n"/>
      <c r="AD103" s="169" t="n"/>
      <c r="AE103" s="169" t="n"/>
      <c r="AF103" s="169" t="n"/>
      <c r="AG103" s="169" t="n"/>
      <c r="AH103" s="169" t="n"/>
      <c r="AI103" s="169" t="n"/>
      <c r="AJ103" s="169" t="n"/>
      <c r="AK103" s="169" t="n"/>
      <c r="AL103" s="169" t="n"/>
      <c r="AM103" s="169" t="n"/>
      <c r="AN103" s="169" t="n"/>
      <c r="AO103" s="169" t="n"/>
      <c r="AP103" s="169" t="n"/>
      <c r="AQ103" s="169" t="inlineStr">
        <is>
          <t>Petrol comprises a weighted average of Super and Premium unleaded</t>
        </is>
      </c>
      <c r="AR103" s="169" t="n"/>
      <c r="AS103" s="169" t="n"/>
      <c r="AT103" s="169" t="n"/>
      <c r="AU103" s="169" t="n"/>
      <c r="AV103" s="169" t="n"/>
      <c r="AW103" s="85" t="n"/>
    </row>
    <row r="104">
      <c r="A104" s="83" t="n"/>
      <c r="B104" s="169" t="n"/>
      <c r="C104" s="169" t="n"/>
      <c r="D104" s="169" t="n"/>
      <c r="E104" s="169" t="n"/>
      <c r="F104" s="169" t="n"/>
      <c r="G104" s="169" t="n"/>
      <c r="H104" s="169" t="n"/>
      <c r="I104" s="169" t="n"/>
      <c r="J104" s="169" t="n"/>
      <c r="K104" s="169" t="n"/>
      <c r="L104" s="169" t="n"/>
      <c r="M104" s="169" t="n"/>
      <c r="N104" s="169" t="n"/>
      <c r="O104" s="169" t="n"/>
      <c r="P104" s="169" t="n"/>
      <c r="Q104" s="169" t="n"/>
      <c r="R104" s="169" t="n"/>
      <c r="S104" s="169" t="n"/>
      <c r="T104" s="169" t="n"/>
      <c r="U104" s="169" t="n"/>
      <c r="V104" s="169" t="n"/>
      <c r="W104" s="169" t="n"/>
      <c r="X104" s="169" t="n"/>
      <c r="Y104" s="169" t="n"/>
      <c r="Z104" s="169" t="n"/>
      <c r="AA104" s="169" t="n"/>
      <c r="AB104" s="169" t="n"/>
      <c r="AC104" s="169" t="n"/>
      <c r="AD104" s="169" t="n"/>
      <c r="AE104" s="169" t="n"/>
      <c r="AF104" s="169" t="n"/>
      <c r="AG104" s="169" t="n"/>
      <c r="AH104" s="169" t="n"/>
      <c r="AI104" s="169" t="n"/>
      <c r="AJ104" s="169" t="n"/>
      <c r="AK104" s="169" t="n"/>
      <c r="AL104" s="169" t="n"/>
      <c r="AM104" s="169" t="n"/>
      <c r="AN104" s="169" t="n"/>
      <c r="AO104" s="169" t="n"/>
      <c r="AP104" s="169" t="n"/>
      <c r="AQ104" s="169" t="n"/>
      <c r="AR104" s="169" t="n"/>
      <c r="AS104" s="169" t="n"/>
      <c r="AT104" s="169" t="n"/>
      <c r="AU104" s="169" t="n"/>
      <c r="AV104" s="169" t="n"/>
      <c r="AW104" s="85" t="n"/>
    </row>
    <row r="105">
      <c r="A105" s="83" t="n"/>
      <c r="B105" s="169" t="n"/>
      <c r="C105" s="169" t="n"/>
      <c r="D105" s="169" t="n"/>
      <c r="E105" s="169" t="n"/>
      <c r="F105" s="169" t="n"/>
      <c r="G105" s="169" t="n"/>
      <c r="H105" s="169" t="n"/>
      <c r="I105" s="169" t="n"/>
      <c r="J105" s="169" t="n"/>
      <c r="K105" s="169" t="n"/>
      <c r="L105" s="169" t="n"/>
      <c r="M105" s="169" t="n"/>
      <c r="N105" s="169" t="n"/>
      <c r="O105" s="169" t="n"/>
      <c r="P105" s="169" t="n"/>
      <c r="Q105" s="169" t="n"/>
      <c r="R105" s="169" t="n"/>
      <c r="S105" s="169" t="n"/>
      <c r="T105" s="169" t="n"/>
      <c r="U105" s="169" t="n"/>
      <c r="V105" s="169" t="n"/>
      <c r="W105" s="169" t="n"/>
      <c r="X105" s="169" t="n"/>
      <c r="Y105" s="169" t="n"/>
      <c r="Z105" s="169" t="n"/>
      <c r="AA105" s="169" t="n"/>
      <c r="AB105" s="169" t="n"/>
      <c r="AC105" s="169" t="n"/>
      <c r="AD105" s="169" t="n"/>
      <c r="AE105" s="169" t="n"/>
      <c r="AF105" s="169" t="n"/>
      <c r="AG105" s="169" t="n"/>
      <c r="AH105" s="169" t="n"/>
      <c r="AI105" s="169" t="n"/>
      <c r="AJ105" s="169" t="n"/>
      <c r="AK105" s="169" t="n"/>
      <c r="AL105" s="169" t="n"/>
      <c r="AM105" s="169" t="n"/>
      <c r="AN105" s="169" t="n"/>
      <c r="AO105" s="169" t="n"/>
      <c r="AP105" s="169" t="n"/>
      <c r="AQ105" s="169" t="n"/>
      <c r="AR105" s="169" t="n"/>
      <c r="AS105" s="169" t="n"/>
      <c r="AT105" s="169" t="n"/>
      <c r="AU105" s="169" t="n"/>
      <c r="AV105" s="169" t="n"/>
      <c r="AW105" s="85" t="n"/>
    </row>
    <row r="106">
      <c r="A106" s="83" t="n"/>
      <c r="B106" s="170" t="inlineStr">
        <is>
          <t>Further guidance on the use of retail prices is available from the appraisal guidance (Chapter 3). Details on the components of the retail price can be found in the background documentation (Chapter 5). These documents can be downloaded from the Green Gook supplementary guidance section of GOV.UK webpage:</t>
        </is>
      </c>
      <c r="C106" s="169" t="n"/>
      <c r="D106" s="169" t="n"/>
      <c r="E106" s="169" t="n"/>
      <c r="F106" s="169" t="n"/>
      <c r="G106" s="169" t="n"/>
      <c r="H106" s="169" t="n"/>
      <c r="I106" s="169" t="n"/>
      <c r="J106" s="169" t="n"/>
      <c r="K106" s="169" t="n"/>
      <c r="L106" s="169" t="n"/>
      <c r="M106" s="169" t="n"/>
      <c r="N106" s="169" t="n"/>
      <c r="O106" s="169" t="n"/>
      <c r="P106" s="169" t="n"/>
      <c r="Q106" s="169" t="n"/>
      <c r="R106" s="169" t="n"/>
      <c r="S106" s="169" t="n"/>
      <c r="T106" s="169" t="n"/>
      <c r="U106" s="169" t="n"/>
      <c r="V106" s="169" t="n"/>
      <c r="W106" s="169" t="n"/>
      <c r="X106" s="169" t="n"/>
      <c r="Y106" s="169" t="n"/>
      <c r="Z106" s="169" t="n"/>
      <c r="AA106" s="169" t="n"/>
      <c r="AB106" s="169" t="n"/>
      <c r="AC106" s="169" t="n"/>
      <c r="AD106" s="169" t="n"/>
      <c r="AE106" s="169" t="n"/>
      <c r="AF106" s="169" t="n"/>
      <c r="AG106" s="169" t="n"/>
      <c r="AH106" s="169" t="n"/>
      <c r="AI106" s="169" t="n"/>
      <c r="AJ106" s="169" t="n"/>
      <c r="AK106" s="169" t="n"/>
      <c r="AL106" s="169" t="n"/>
      <c r="AM106" s="169" t="n"/>
      <c r="AN106" s="169" t="n"/>
      <c r="AO106" s="169" t="n"/>
      <c r="AP106" s="169" t="n"/>
      <c r="AQ106" s="169" t="n"/>
      <c r="AR106" s="169" t="n"/>
      <c r="AS106" s="169" t="n"/>
      <c r="AT106" s="169" t="n"/>
      <c r="AU106" s="169" t="n"/>
      <c r="AV106" s="169" t="n"/>
      <c r="AW106" s="85" t="n"/>
    </row>
    <row r="107">
      <c r="A107" s="83" t="n"/>
      <c r="B107" s="171" t="inlineStr">
        <is>
          <t>https://www.gov.uk/government/publications/valuation-of-energy-use-and-greenhouse-gas-emissions-for-appraisal</t>
        </is>
      </c>
      <c r="C107" s="169" t="n"/>
      <c r="D107" s="169" t="n"/>
      <c r="E107" s="169" t="n"/>
      <c r="F107" s="169" t="n"/>
      <c r="G107" s="169" t="n"/>
      <c r="H107" s="169" t="n"/>
      <c r="I107" s="169" t="n"/>
      <c r="J107" s="169" t="n"/>
      <c r="K107" s="169" t="n"/>
      <c r="L107" s="169" t="n"/>
      <c r="M107" s="169" t="n"/>
      <c r="N107" s="169" t="n"/>
      <c r="O107" s="169" t="n"/>
      <c r="P107" s="169" t="n"/>
      <c r="Q107" s="169" t="n"/>
      <c r="R107" s="169" t="n"/>
      <c r="S107" s="169" t="n"/>
      <c r="T107" s="169" t="n"/>
      <c r="U107" s="169" t="n"/>
      <c r="V107" s="169" t="n"/>
      <c r="W107" s="169" t="n"/>
      <c r="X107" s="169" t="n"/>
      <c r="Y107" s="169" t="n"/>
      <c r="Z107" s="169" t="n"/>
      <c r="AA107" s="169" t="n"/>
      <c r="AB107" s="169" t="n"/>
      <c r="AC107" s="169" t="n"/>
      <c r="AD107" s="169" t="n"/>
      <c r="AE107" s="169" t="n"/>
      <c r="AF107" s="169" t="n"/>
      <c r="AG107" s="169" t="n"/>
      <c r="AH107" s="169" t="n"/>
      <c r="AI107" s="169" t="n"/>
      <c r="AJ107" s="169" t="n"/>
      <c r="AK107" s="169" t="n"/>
      <c r="AL107" s="169" t="n"/>
      <c r="AM107" s="169" t="n"/>
      <c r="AN107" s="169" t="n"/>
      <c r="AO107" s="169" t="n"/>
      <c r="AP107" s="169" t="n"/>
      <c r="AQ107" s="169" t="n"/>
      <c r="AR107" s="169" t="n"/>
      <c r="AS107" s="169" t="n"/>
      <c r="AT107" s="169" t="n"/>
      <c r="AU107" s="169" t="n"/>
      <c r="AV107" s="169" t="n"/>
      <c r="AW107" s="85" t="n"/>
    </row>
    <row r="108">
      <c r="A108" s="83" t="n"/>
      <c r="B108" s="169" t="n"/>
      <c r="C108" s="169" t="n"/>
      <c r="D108" s="169" t="n"/>
      <c r="E108" s="169" t="n"/>
      <c r="F108" s="169" t="n"/>
      <c r="G108" s="169" t="n"/>
      <c r="H108" s="169" t="n"/>
      <c r="I108" s="169" t="n"/>
      <c r="J108" s="169" t="n"/>
      <c r="K108" s="169" t="n"/>
      <c r="L108" s="169" t="n"/>
      <c r="M108" s="169" t="n"/>
      <c r="N108" s="169" t="n"/>
      <c r="O108" s="169" t="n"/>
      <c r="P108" s="169" t="n"/>
      <c r="Q108" s="169" t="n"/>
      <c r="R108" s="169" t="n"/>
      <c r="S108" s="169" t="n"/>
      <c r="T108" s="169" t="n"/>
      <c r="U108" s="169" t="n"/>
      <c r="V108" s="169" t="n"/>
      <c r="W108" s="169" t="n"/>
      <c r="X108" s="169" t="n"/>
      <c r="Y108" s="169" t="n"/>
      <c r="Z108" s="169" t="n"/>
      <c r="AA108" s="169" t="n"/>
      <c r="AB108" s="169" t="n"/>
      <c r="AC108" s="169" t="n"/>
      <c r="AD108" s="169" t="n"/>
      <c r="AE108" s="169" t="n"/>
      <c r="AF108" s="169" t="n"/>
      <c r="AG108" s="169" t="n"/>
      <c r="AH108" s="169" t="n"/>
      <c r="AI108" s="169" t="n"/>
      <c r="AJ108" s="169" t="n"/>
      <c r="AK108" s="169" t="n"/>
      <c r="AL108" s="169" t="n"/>
      <c r="AM108" s="169" t="n"/>
      <c r="AN108" s="169" t="n"/>
      <c r="AO108" s="169" t="n"/>
      <c r="AP108" s="169" t="n"/>
      <c r="AQ108" s="169" t="n"/>
      <c r="AR108" s="169" t="n"/>
      <c r="AS108" s="169" t="n"/>
      <c r="AT108" s="169" t="n"/>
      <c r="AU108" s="169" t="n"/>
      <c r="AV108" s="169" t="n"/>
      <c r="AW108" s="85" t="n"/>
    </row>
    <row r="109">
      <c r="A109" s="83" t="n"/>
      <c r="B109" s="169" t="n"/>
      <c r="C109" s="169" t="n"/>
      <c r="D109" s="169" t="n"/>
      <c r="E109" s="169" t="n"/>
      <c r="F109" s="169" t="n"/>
      <c r="G109" s="169" t="n"/>
      <c r="H109" s="169" t="n"/>
      <c r="I109" s="169" t="n"/>
      <c r="J109" s="169" t="n"/>
      <c r="K109" s="169" t="n"/>
      <c r="L109" s="169" t="n"/>
      <c r="M109" s="169" t="n"/>
      <c r="N109" s="169" t="n"/>
      <c r="O109" s="169" t="n"/>
      <c r="P109" s="169" t="n"/>
      <c r="Q109" s="169" t="n"/>
      <c r="R109" s="169" t="n"/>
      <c r="S109" s="169" t="n"/>
      <c r="T109" s="169" t="n"/>
      <c r="U109" s="169" t="n"/>
      <c r="V109" s="169" t="n"/>
      <c r="W109" s="169" t="n"/>
      <c r="X109" s="169" t="n"/>
      <c r="Y109" s="169" t="n"/>
      <c r="Z109" s="169" t="n"/>
      <c r="AA109" s="169" t="n"/>
      <c r="AB109" s="169" t="n"/>
      <c r="AC109" s="169" t="n"/>
      <c r="AD109" s="169" t="n"/>
      <c r="AE109" s="169" t="n"/>
      <c r="AF109" s="169" t="n"/>
      <c r="AG109" s="169" t="n"/>
      <c r="AH109" s="169" t="n"/>
      <c r="AI109" s="169" t="n"/>
      <c r="AJ109" s="169" t="n"/>
      <c r="AK109" s="169" t="n"/>
      <c r="AL109" s="169" t="n"/>
      <c r="AM109" s="169" t="n"/>
      <c r="AN109" s="169" t="n"/>
      <c r="AO109" s="169" t="n"/>
      <c r="AP109" s="169" t="n"/>
      <c r="AQ109" s="169" t="n"/>
      <c r="AR109" s="169" t="n"/>
      <c r="AS109" s="169" t="n"/>
      <c r="AT109" s="169" t="n"/>
      <c r="AU109" s="169" t="n"/>
      <c r="AV109" s="169" t="n"/>
      <c r="AW109" s="85" t="n"/>
    </row>
    <row r="110">
      <c r="A110" s="83" t="n"/>
      <c r="B110" s="169" t="n"/>
      <c r="C110" s="169" t="n"/>
      <c r="D110" s="169" t="n"/>
      <c r="E110" s="169" t="n"/>
      <c r="F110" s="169" t="n"/>
      <c r="G110" s="169" t="n"/>
      <c r="H110" s="169" t="n"/>
      <c r="I110" s="169" t="n"/>
      <c r="J110" s="169" t="n"/>
      <c r="K110" s="169" t="n"/>
      <c r="L110" s="169" t="n"/>
      <c r="M110" s="169" t="n"/>
      <c r="N110" s="169" t="n"/>
      <c r="O110" s="169" t="n"/>
      <c r="P110" s="169" t="n"/>
      <c r="Q110" s="169" t="n"/>
      <c r="R110" s="169" t="n"/>
      <c r="S110" s="169" t="n"/>
      <c r="T110" s="169" t="n"/>
      <c r="U110" s="169" t="n"/>
      <c r="V110" s="169" t="n"/>
      <c r="W110" s="169" t="n"/>
      <c r="X110" s="169" t="n"/>
      <c r="Y110" s="169" t="n"/>
      <c r="Z110" s="169" t="n"/>
      <c r="AA110" s="169" t="n"/>
      <c r="AB110" s="169" t="n"/>
      <c r="AC110" s="169" t="n"/>
      <c r="AD110" s="169" t="n"/>
      <c r="AE110" s="169" t="n"/>
      <c r="AF110" s="169" t="n"/>
      <c r="AG110" s="169" t="n"/>
      <c r="AH110" s="169" t="n"/>
      <c r="AI110" s="169" t="n"/>
      <c r="AJ110" s="169" t="n"/>
      <c r="AK110" s="169" t="n"/>
      <c r="AL110" s="169" t="n"/>
      <c r="AM110" s="169" t="n"/>
      <c r="AN110" s="169" t="n"/>
      <c r="AO110" s="169" t="n"/>
      <c r="AP110" s="169" t="n"/>
      <c r="AQ110" s="169" t="n"/>
      <c r="AR110" s="169" t="n"/>
      <c r="AS110" s="169" t="n"/>
      <c r="AT110" s="169" t="n"/>
      <c r="AU110" s="169" t="n"/>
      <c r="AV110" s="169" t="n"/>
      <c r="AW110" s="85" t="n"/>
    </row>
    <row r="111">
      <c r="A111" s="83" t="n"/>
      <c r="B111" s="169" t="n"/>
      <c r="C111" s="169" t="n"/>
      <c r="D111" s="169" t="n"/>
      <c r="E111" s="169" t="n"/>
      <c r="F111" s="169" t="n"/>
      <c r="G111" s="169" t="n"/>
      <c r="H111" s="169" t="n"/>
      <c r="I111" s="169" t="n"/>
      <c r="J111" s="169" t="n"/>
      <c r="K111" s="169" t="n"/>
      <c r="L111" s="169" t="n"/>
      <c r="M111" s="169" t="n"/>
      <c r="N111" s="169" t="n"/>
      <c r="O111" s="169" t="n"/>
      <c r="P111" s="169" t="n"/>
      <c r="Q111" s="169" t="n"/>
      <c r="R111" s="169" t="n"/>
      <c r="S111" s="169" t="n"/>
      <c r="T111" s="169" t="n"/>
      <c r="U111" s="169" t="n"/>
      <c r="V111" s="169" t="n"/>
      <c r="W111" s="169" t="n"/>
      <c r="X111" s="169" t="n"/>
      <c r="Y111" s="169" t="n"/>
      <c r="Z111" s="169" t="n"/>
      <c r="AA111" s="169" t="n"/>
      <c r="AB111" s="169" t="n"/>
      <c r="AC111" s="169" t="n"/>
      <c r="AD111" s="169" t="n"/>
      <c r="AE111" s="169" t="n"/>
      <c r="AF111" s="169" t="n"/>
      <c r="AG111" s="169" t="n"/>
      <c r="AH111" s="169" t="n"/>
      <c r="AI111" s="169" t="n"/>
      <c r="AJ111" s="169" t="n"/>
      <c r="AK111" s="169" t="n"/>
      <c r="AL111" s="169" t="n"/>
      <c r="AM111" s="169" t="n"/>
      <c r="AN111" s="169" t="n"/>
      <c r="AO111" s="169" t="n"/>
      <c r="AP111" s="169" t="n"/>
      <c r="AQ111" s="169" t="n"/>
      <c r="AR111" s="169" t="n"/>
      <c r="AS111" s="169" t="n"/>
      <c r="AT111" s="169" t="n"/>
      <c r="AU111" s="169" t="n"/>
      <c r="AV111" s="169" t="n"/>
      <c r="AW111" s="85" t="n"/>
    </row>
    <row r="112">
      <c r="A112" s="83" t="n"/>
      <c r="B112" s="169" t="n"/>
      <c r="C112" s="169" t="n"/>
      <c r="D112" s="169" t="n"/>
      <c r="E112" s="169" t="n"/>
      <c r="F112" s="169" t="n"/>
      <c r="G112" s="169" t="n"/>
      <c r="H112" s="169" t="n"/>
      <c r="I112" s="169" t="n"/>
      <c r="J112" s="169" t="n"/>
      <c r="K112" s="169" t="n"/>
      <c r="L112" s="169" t="n"/>
      <c r="M112" s="169" t="n"/>
      <c r="N112" s="169" t="n"/>
      <c r="O112" s="169" t="n"/>
      <c r="P112" s="169" t="n"/>
      <c r="Q112" s="169" t="n"/>
      <c r="R112" s="169" t="n"/>
      <c r="S112" s="169" t="n"/>
      <c r="T112" s="169" t="n"/>
      <c r="U112" s="169" t="n"/>
      <c r="V112" s="169" t="n"/>
      <c r="W112" s="169" t="n"/>
      <c r="X112" s="169" t="n"/>
      <c r="Y112" s="169" t="n"/>
      <c r="Z112" s="169" t="n"/>
      <c r="AA112" s="169" t="n"/>
      <c r="AB112" s="169" t="n"/>
      <c r="AC112" s="169" t="n"/>
      <c r="AD112" s="169" t="n"/>
      <c r="AE112" s="169" t="n"/>
      <c r="AF112" s="169" t="n"/>
      <c r="AG112" s="169" t="n"/>
      <c r="AH112" s="169" t="n"/>
      <c r="AI112" s="169" t="n"/>
      <c r="AJ112" s="169" t="n"/>
      <c r="AK112" s="169" t="n"/>
      <c r="AL112" s="169" t="n"/>
      <c r="AM112" s="169" t="n"/>
      <c r="AN112" s="169" t="n"/>
      <c r="AO112" s="169" t="n"/>
      <c r="AP112" s="169" t="n"/>
      <c r="AQ112" s="169" t="n"/>
      <c r="AR112" s="169" t="n"/>
      <c r="AS112" s="169" t="n"/>
      <c r="AT112" s="169" t="n"/>
      <c r="AU112" s="169" t="n"/>
      <c r="AV112" s="169" t="n"/>
      <c r="AW112" s="85" t="n"/>
    </row>
    <row r="113">
      <c r="A113" s="109" t="n"/>
      <c r="B113" s="110" t="n"/>
      <c r="C113" s="110" t="n"/>
      <c r="D113" s="110" t="n"/>
      <c r="E113" s="110" t="n"/>
      <c r="F113" s="110" t="n"/>
      <c r="G113" s="110" t="n"/>
      <c r="H113" s="110" t="n"/>
      <c r="I113" s="110" t="n"/>
      <c r="J113" s="110" t="n"/>
      <c r="K113" s="110" t="n"/>
      <c r="L113" s="110" t="n"/>
      <c r="M113" s="110" t="n"/>
      <c r="N113" s="110" t="n"/>
      <c r="O113" s="110" t="n"/>
      <c r="P113" s="110" t="n"/>
      <c r="Q113" s="110" t="n"/>
      <c r="R113" s="110" t="n"/>
      <c r="S113" s="110" t="n"/>
      <c r="T113" s="110" t="n"/>
      <c r="U113" s="110" t="n"/>
      <c r="V113" s="110" t="n"/>
      <c r="W113" s="110" t="n"/>
      <c r="X113" s="110" t="n"/>
      <c r="Y113" s="110" t="n"/>
      <c r="Z113" s="110" t="n"/>
      <c r="AA113" s="110" t="n"/>
      <c r="AB113" s="110" t="n"/>
      <c r="AC113" s="110" t="n"/>
      <c r="AD113" s="110" t="n"/>
      <c r="AE113" s="110" t="n"/>
      <c r="AF113" s="110" t="n"/>
      <c r="AG113" s="110" t="n"/>
      <c r="AH113" s="110" t="n"/>
      <c r="AI113" s="110" t="n"/>
      <c r="AJ113" s="110" t="n"/>
      <c r="AK113" s="110" t="n"/>
      <c r="AL113" s="110" t="n"/>
      <c r="AM113" s="110" t="n"/>
      <c r="AN113" s="110" t="n"/>
      <c r="AO113" s="110" t="n"/>
      <c r="AP113" s="110" t="n"/>
      <c r="AQ113" s="110" t="n"/>
      <c r="AR113" s="110" t="n"/>
      <c r="AS113" s="110" t="n"/>
      <c r="AT113" s="110" t="n"/>
      <c r="AU113" s="110" t="n"/>
      <c r="AV113" s="110" t="n"/>
      <c r="AW113" s="111" t="n"/>
    </row>
  </sheetData>
  <mergeCells count="20">
    <mergeCell ref="AU8:AV8"/>
    <mergeCell ref="P8:R8"/>
    <mergeCell ref="F8:H8"/>
    <mergeCell ref="AC8:AE8"/>
    <mergeCell ref="W7:AE7"/>
    <mergeCell ref="M7:U7"/>
    <mergeCell ref="Z8:AB8"/>
    <mergeCell ref="AG7:AO7"/>
    <mergeCell ref="C8:E8"/>
    <mergeCell ref="I8:K8"/>
    <mergeCell ref="M8:O8"/>
    <mergeCell ref="S8:U8"/>
    <mergeCell ref="W8:Y8"/>
    <mergeCell ref="C7:K7"/>
    <mergeCell ref="AQ8:AR8"/>
    <mergeCell ref="AS8:AT8"/>
    <mergeCell ref="AG8:AI8"/>
    <mergeCell ref="AM8:AO8"/>
    <mergeCell ref="AQ7:AV7"/>
    <mergeCell ref="AJ8:AL8"/>
  </mergeCells>
  <hyperlinks>
    <hyperlink xmlns:r="http://schemas.openxmlformats.org/officeDocument/2006/relationships" ref="A1" r:id="rId1"/>
    <hyperlink xmlns:r="http://schemas.openxmlformats.org/officeDocument/2006/relationships" ref="B107" r:id="rId2"/>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D35"/>
  <sheetViews>
    <sheetView workbookViewId="0">
      <selection activeCell="A1" sqref="A1"/>
    </sheetView>
  </sheetViews>
  <sheetFormatPr baseColWidth="8" defaultColWidth="12.63" defaultRowHeight="15.75" customHeight="1"/>
  <sheetData>
    <row r="1">
      <c r="A1" s="136" t="inlineStr">
        <is>
          <t>Source: https://www.gov.uk/government/publications/valuing-greenhouse-gas-emissions-in-policy-appraisal/valuation-of-greenhouse-gas-emissions-for-policy-appraisal-and-evaluation</t>
        </is>
      </c>
      <c r="B1" s="262" t="n"/>
      <c r="C1" s="262" t="n"/>
      <c r="D1" s="262" t="n"/>
    </row>
    <row r="2">
      <c r="A2" s="262" t="n"/>
      <c r="B2" s="262" t="n"/>
      <c r="C2" s="262" t="n"/>
      <c r="D2" s="262" t="n"/>
    </row>
    <row r="3">
      <c r="A3" s="262" t="n"/>
      <c r="B3" s="262" t="n"/>
      <c r="C3" s="262" t="n"/>
      <c r="D3" s="262" t="n"/>
    </row>
    <row r="4">
      <c r="A4" s="262" t="inlineStr">
        <is>
          <t>Year</t>
        </is>
      </c>
      <c r="B4" s="262" t="inlineStr">
        <is>
          <t>Low series</t>
        </is>
      </c>
      <c r="C4" s="262" t="inlineStr">
        <is>
          <t>Central Series</t>
        </is>
      </c>
      <c r="D4" s="262" t="inlineStr">
        <is>
          <t>High Series</t>
        </is>
      </c>
    </row>
    <row r="5">
      <c r="A5" s="262" t="n">
        <v>2020</v>
      </c>
      <c r="B5" s="262" t="n">
        <v>120</v>
      </c>
      <c r="C5" s="262" t="n">
        <v>241</v>
      </c>
      <c r="D5" s="262" t="n">
        <v>361</v>
      </c>
    </row>
    <row r="6">
      <c r="A6" s="262" t="n">
        <v>2021</v>
      </c>
      <c r="B6" s="262" t="n">
        <v>122</v>
      </c>
      <c r="C6" s="262" t="n">
        <v>245</v>
      </c>
      <c r="D6" s="262" t="n">
        <v>367</v>
      </c>
    </row>
    <row r="7">
      <c r="A7" s="262" t="n">
        <v>2022</v>
      </c>
      <c r="B7" s="262" t="n">
        <v>124</v>
      </c>
      <c r="C7" s="262" t="n">
        <v>248</v>
      </c>
      <c r="D7" s="262" t="n">
        <v>373</v>
      </c>
    </row>
    <row r="8">
      <c r="A8" s="262" t="n">
        <v>2023</v>
      </c>
      <c r="B8" s="262" t="n">
        <v>126</v>
      </c>
      <c r="C8" s="262" t="n">
        <v>252</v>
      </c>
      <c r="D8" s="262" t="n">
        <v>378</v>
      </c>
    </row>
    <row r="9">
      <c r="A9" s="262" t="n">
        <v>2024</v>
      </c>
      <c r="B9" s="262" t="n">
        <v>128</v>
      </c>
      <c r="C9" s="262" t="n">
        <v>256</v>
      </c>
      <c r="D9" s="262" t="n">
        <v>384</v>
      </c>
    </row>
    <row r="10">
      <c r="A10" s="262" t="n">
        <v>2025</v>
      </c>
      <c r="B10" s="262" t="n">
        <v>130</v>
      </c>
      <c r="C10" s="262" t="n">
        <v>260</v>
      </c>
      <c r="D10" s="262" t="n">
        <v>390</v>
      </c>
    </row>
    <row r="11">
      <c r="A11" s="262" t="n">
        <v>2026</v>
      </c>
      <c r="B11" s="262" t="n">
        <v>132</v>
      </c>
      <c r="C11" s="262" t="n">
        <v>264</v>
      </c>
      <c r="D11" s="262" t="n">
        <v>396</v>
      </c>
    </row>
    <row r="12">
      <c r="A12" s="262" t="n">
        <v>2027</v>
      </c>
      <c r="B12" s="262" t="n">
        <v>134</v>
      </c>
      <c r="C12" s="262" t="n">
        <v>268</v>
      </c>
      <c r="D12" s="262" t="n">
        <v>402</v>
      </c>
    </row>
    <row r="13">
      <c r="A13" s="262" t="n">
        <v>2028</v>
      </c>
      <c r="B13" s="262" t="n">
        <v>136</v>
      </c>
      <c r="C13" s="262" t="n">
        <v>272</v>
      </c>
      <c r="D13" s="262" t="n">
        <v>408</v>
      </c>
    </row>
    <row r="14">
      <c r="A14" s="262" t="n">
        <v>2029</v>
      </c>
      <c r="B14" s="262" t="n">
        <v>138</v>
      </c>
      <c r="C14" s="262" t="n">
        <v>276</v>
      </c>
      <c r="D14" s="262" t="n">
        <v>414</v>
      </c>
    </row>
    <row r="15">
      <c r="A15" s="262" t="n">
        <v>2030</v>
      </c>
      <c r="B15" s="262" t="n">
        <v>140</v>
      </c>
      <c r="C15" s="262" t="n">
        <v>280</v>
      </c>
      <c r="D15" s="262" t="n">
        <v>420</v>
      </c>
    </row>
    <row r="16">
      <c r="A16" s="262" t="n">
        <v>2031</v>
      </c>
      <c r="B16" s="262" t="n">
        <v>142</v>
      </c>
      <c r="C16" s="262" t="n">
        <v>285</v>
      </c>
      <c r="D16" s="262" t="n">
        <v>427</v>
      </c>
    </row>
    <row r="17">
      <c r="A17" s="262" t="n">
        <v>2032</v>
      </c>
      <c r="B17" s="262" t="n">
        <v>144</v>
      </c>
      <c r="C17" s="262" t="n">
        <v>289</v>
      </c>
      <c r="D17" s="262" t="n">
        <v>433</v>
      </c>
    </row>
    <row r="18">
      <c r="A18" s="262" t="n">
        <v>2033</v>
      </c>
      <c r="B18" s="262" t="n">
        <v>147</v>
      </c>
      <c r="C18" s="262" t="n">
        <v>293</v>
      </c>
      <c r="D18" s="262" t="n">
        <v>440</v>
      </c>
    </row>
    <row r="19">
      <c r="A19" s="262" t="n">
        <v>2034</v>
      </c>
      <c r="B19" s="262" t="n">
        <v>149</v>
      </c>
      <c r="C19" s="262" t="n">
        <v>298</v>
      </c>
      <c r="D19" s="262" t="n">
        <v>447</v>
      </c>
    </row>
    <row r="20">
      <c r="A20" s="262" t="n">
        <v>2035</v>
      </c>
      <c r="B20" s="262" t="n">
        <v>151</v>
      </c>
      <c r="C20" s="262" t="n">
        <v>302</v>
      </c>
      <c r="D20" s="262" t="n">
        <v>453</v>
      </c>
    </row>
    <row r="21">
      <c r="A21" s="262" t="n">
        <v>2036</v>
      </c>
      <c r="B21" s="262" t="n">
        <v>153</v>
      </c>
      <c r="C21" s="262" t="n">
        <v>307</v>
      </c>
      <c r="D21" s="262" t="n">
        <v>460</v>
      </c>
    </row>
    <row r="22">
      <c r="A22" s="262" t="n">
        <v>2037</v>
      </c>
      <c r="B22" s="262" t="n">
        <v>156</v>
      </c>
      <c r="C22" s="262" t="n">
        <v>312</v>
      </c>
      <c r="D22" s="262" t="n">
        <v>467</v>
      </c>
    </row>
    <row r="23">
      <c r="A23" s="262" t="n">
        <v>2038</v>
      </c>
      <c r="B23" s="262" t="n">
        <v>158</v>
      </c>
      <c r="C23" s="262" t="n">
        <v>316</v>
      </c>
      <c r="D23" s="262" t="n">
        <v>474</v>
      </c>
    </row>
    <row r="24">
      <c r="A24" s="262" t="n">
        <v>2039</v>
      </c>
      <c r="B24" s="262" t="n">
        <v>161</v>
      </c>
      <c r="C24" s="262" t="n">
        <v>321</v>
      </c>
      <c r="D24" s="262" t="n">
        <v>482</v>
      </c>
    </row>
    <row r="25">
      <c r="A25" s="262" t="n">
        <v>2040</v>
      </c>
      <c r="B25" s="262" t="n">
        <v>163</v>
      </c>
      <c r="C25" s="262" t="n">
        <v>326</v>
      </c>
      <c r="D25" s="262" t="n">
        <v>489</v>
      </c>
    </row>
    <row r="26">
      <c r="A26" s="262" t="n">
        <v>2041</v>
      </c>
      <c r="B26" s="262" t="n">
        <v>165</v>
      </c>
      <c r="C26" s="262" t="n">
        <v>331</v>
      </c>
      <c r="D26" s="262" t="n">
        <v>496</v>
      </c>
    </row>
    <row r="27">
      <c r="A27" s="262" t="n">
        <v>2042</v>
      </c>
      <c r="B27" s="262" t="n">
        <v>168</v>
      </c>
      <c r="C27" s="262" t="n">
        <v>336</v>
      </c>
      <c r="D27" s="262" t="n">
        <v>504</v>
      </c>
    </row>
    <row r="28">
      <c r="A28" s="262" t="n">
        <v>2043</v>
      </c>
      <c r="B28" s="262" t="n">
        <v>170</v>
      </c>
      <c r="C28" s="262" t="n">
        <v>341</v>
      </c>
      <c r="D28" s="262" t="n">
        <v>511</v>
      </c>
    </row>
    <row r="29">
      <c r="A29" s="262" t="n">
        <v>2044</v>
      </c>
      <c r="B29" s="262" t="n">
        <v>173</v>
      </c>
      <c r="C29" s="262" t="n">
        <v>346</v>
      </c>
      <c r="D29" s="262" t="n">
        <v>519</v>
      </c>
    </row>
    <row r="30">
      <c r="A30" s="262" t="n">
        <v>2045</v>
      </c>
      <c r="B30" s="262" t="n">
        <v>176</v>
      </c>
      <c r="C30" s="262" t="n">
        <v>351</v>
      </c>
      <c r="D30" s="262" t="n">
        <v>527</v>
      </c>
    </row>
    <row r="31">
      <c r="A31" s="262" t="n">
        <v>2046</v>
      </c>
      <c r="B31" s="262" t="n">
        <v>178</v>
      </c>
      <c r="C31" s="262" t="n">
        <v>356</v>
      </c>
      <c r="D31" s="262" t="n">
        <v>535</v>
      </c>
    </row>
    <row r="32">
      <c r="A32" s="262" t="n">
        <v>2047</v>
      </c>
      <c r="B32" s="262" t="n">
        <v>181</v>
      </c>
      <c r="C32" s="262" t="n">
        <v>362</v>
      </c>
      <c r="D32" s="262" t="n">
        <v>543</v>
      </c>
    </row>
    <row r="33">
      <c r="A33" s="262" t="n">
        <v>2048</v>
      </c>
      <c r="B33" s="262" t="n">
        <v>184</v>
      </c>
      <c r="C33" s="262" t="n">
        <v>367</v>
      </c>
      <c r="D33" s="262" t="n">
        <v>551</v>
      </c>
    </row>
    <row r="34">
      <c r="A34" s="262" t="n">
        <v>2049</v>
      </c>
      <c r="B34" s="262" t="n">
        <v>186</v>
      </c>
      <c r="C34" s="262" t="n">
        <v>373</v>
      </c>
      <c r="D34" s="262" t="n">
        <v>559</v>
      </c>
    </row>
    <row r="35">
      <c r="A35" s="262" t="n">
        <v>2050</v>
      </c>
      <c r="B35" s="262" t="n">
        <v>189</v>
      </c>
      <c r="C35" s="262" t="n">
        <v>378</v>
      </c>
      <c r="D35" s="262" t="n">
        <v>568</v>
      </c>
    </row>
  </sheetData>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N34"/>
  <sheetViews>
    <sheetView workbookViewId="0">
      <selection activeCell="A1" sqref="A1"/>
    </sheetView>
  </sheetViews>
  <sheetFormatPr baseColWidth="8" defaultColWidth="12.63" defaultRowHeight="15.75" customHeight="1"/>
  <sheetData>
    <row r="1">
      <c r="A1" s="136" t="inlineStr">
        <is>
          <t>Source: https://bidenwhitehouse.archives.gov/omb/information-regulatory-affairs/regulatory-matters/#scghgs
Social Cost of Greenhouse Gases Annual Values (February 26, 2021)</t>
        </is>
      </c>
    </row>
    <row r="3">
      <c r="B3" s="172" t="inlineStr">
        <is>
          <t>year</t>
        </is>
      </c>
      <c r="C3" s="172" t="inlineStr">
        <is>
          <t>5.0%_CO2</t>
        </is>
      </c>
      <c r="D3" s="172" t="inlineStr">
        <is>
          <t>3.0%_CO2</t>
        </is>
      </c>
      <c r="E3" s="172" t="inlineStr">
        <is>
          <t>2.5%_CO2</t>
        </is>
      </c>
      <c r="F3" s="172" t="inlineStr">
        <is>
          <t>3% 95th Pct._CO2</t>
        </is>
      </c>
      <c r="G3" s="172" t="inlineStr">
        <is>
          <t>5.0%_CH4</t>
        </is>
      </c>
      <c r="H3" s="172" t="inlineStr">
        <is>
          <t>3.0%_CH4</t>
        </is>
      </c>
      <c r="I3" s="172" t="inlineStr">
        <is>
          <t>2.5%_CH4</t>
        </is>
      </c>
      <c r="J3" s="172" t="inlineStr">
        <is>
          <t>3% 95th Pct._CH4</t>
        </is>
      </c>
      <c r="K3" s="172" t="inlineStr">
        <is>
          <t>5.0%_N2O</t>
        </is>
      </c>
      <c r="L3" s="172" t="inlineStr">
        <is>
          <t>3.0%_N2O</t>
        </is>
      </c>
      <c r="M3" s="172" t="inlineStr">
        <is>
          <t>2.5%_N2O</t>
        </is>
      </c>
      <c r="N3" s="172" t="inlineStr">
        <is>
          <t>3% 95th Pct._N2O</t>
        </is>
      </c>
    </row>
    <row r="4">
      <c r="B4" s="173" t="n">
        <v>2020</v>
      </c>
      <c r="C4" s="174" t="n">
        <v>14.476</v>
      </c>
      <c r="D4" s="174" t="n">
        <v>51.082</v>
      </c>
      <c r="E4" s="174" t="n">
        <v>76.42100000000001</v>
      </c>
      <c r="F4" s="174" t="n">
        <v>151.608</v>
      </c>
      <c r="G4" s="174" t="n">
        <v>665.688</v>
      </c>
      <c r="H4" s="174" t="n">
        <v>1485.078</v>
      </c>
      <c r="I4" s="174" t="n">
        <v>1953.209</v>
      </c>
      <c r="J4" s="174" t="n">
        <v>3906.371</v>
      </c>
      <c r="K4" s="174" t="n">
        <v>5779.426</v>
      </c>
      <c r="L4" s="174" t="n">
        <v>18405.298</v>
      </c>
      <c r="M4" s="174" t="n">
        <v>27130.806</v>
      </c>
      <c r="N4" s="174" t="n">
        <v>48255.974</v>
      </c>
    </row>
    <row r="5">
      <c r="B5" s="173" t="n">
        <v>2021</v>
      </c>
      <c r="C5" s="174" t="n">
        <v>14.964</v>
      </c>
      <c r="D5" s="174" t="n">
        <v>52.15</v>
      </c>
      <c r="E5" s="174" t="n">
        <v>77.727</v>
      </c>
      <c r="F5" s="174" t="n">
        <v>155.119</v>
      </c>
      <c r="G5" s="174" t="n">
        <v>692.917</v>
      </c>
      <c r="H5" s="174" t="n">
        <v>1532.015</v>
      </c>
      <c r="I5" s="174" t="n">
        <v>2008.649</v>
      </c>
      <c r="J5" s="174" t="n">
        <v>4034.779</v>
      </c>
      <c r="K5" s="174" t="n">
        <v>5981.4</v>
      </c>
      <c r="L5" s="174" t="n">
        <v>18842.379</v>
      </c>
      <c r="M5" s="174" t="n">
        <v>27687.532</v>
      </c>
      <c r="N5" s="174" t="n">
        <v>49463.691</v>
      </c>
    </row>
    <row r="6">
      <c r="B6" s="173" t="n">
        <v>2022</v>
      </c>
      <c r="C6" s="174" t="n">
        <v>15.453</v>
      </c>
      <c r="D6" s="174" t="n">
        <v>53.219</v>
      </c>
      <c r="E6" s="174" t="n">
        <v>79.033</v>
      </c>
      <c r="F6" s="174" t="n">
        <v>158.629</v>
      </c>
      <c r="G6" s="174" t="n">
        <v>720.147</v>
      </c>
      <c r="H6" s="174" t="n">
        <v>1578.952</v>
      </c>
      <c r="I6" s="174" t="n">
        <v>2064.09</v>
      </c>
      <c r="J6" s="174" t="n">
        <v>4163.187</v>
      </c>
      <c r="K6" s="174" t="n">
        <v>6183.373</v>
      </c>
      <c r="L6" s="174" t="n">
        <v>19279.46</v>
      </c>
      <c r="M6" s="174" t="n">
        <v>28244.259</v>
      </c>
      <c r="N6" s="174" t="n">
        <v>50671.409</v>
      </c>
    </row>
    <row r="7">
      <c r="B7" s="173" t="n">
        <v>2023</v>
      </c>
      <c r="C7" s="174" t="n">
        <v>15.942</v>
      </c>
      <c r="D7" s="174" t="n">
        <v>54.287</v>
      </c>
      <c r="E7" s="174" t="n">
        <v>80.339</v>
      </c>
      <c r="F7" s="174" t="n">
        <v>162.139</v>
      </c>
      <c r="G7" s="174" t="n">
        <v>747.376</v>
      </c>
      <c r="H7" s="174" t="n">
        <v>1625.89</v>
      </c>
      <c r="I7" s="174" t="n">
        <v>2119.53</v>
      </c>
      <c r="J7" s="174" t="n">
        <v>4291.595</v>
      </c>
      <c r="K7" s="174" t="n">
        <v>6385.347</v>
      </c>
      <c r="L7" s="174" t="n">
        <v>19716.542</v>
      </c>
      <c r="M7" s="174" t="n">
        <v>28800.985</v>
      </c>
      <c r="N7" s="174" t="n">
        <v>51879.127</v>
      </c>
    </row>
    <row r="8">
      <c r="B8" s="173" t="n">
        <v>2024</v>
      </c>
      <c r="C8" s="174" t="n">
        <v>16.431</v>
      </c>
      <c r="D8" s="174" t="n">
        <v>55.355</v>
      </c>
      <c r="E8" s="174" t="n">
        <v>81.645</v>
      </c>
      <c r="F8" s="174" t="n">
        <v>165.65</v>
      </c>
      <c r="G8" s="174" t="n">
        <v>774.605</v>
      </c>
      <c r="H8" s="174" t="n">
        <v>1672.827</v>
      </c>
      <c r="I8" s="174" t="n">
        <v>2174.97</v>
      </c>
      <c r="J8" s="174" t="n">
        <v>4420.003</v>
      </c>
      <c r="K8" s="174" t="n">
        <v>6587.321</v>
      </c>
      <c r="L8" s="174" t="n">
        <v>20153.623</v>
      </c>
      <c r="M8" s="174" t="n">
        <v>29357.712</v>
      </c>
      <c r="N8" s="174" t="n">
        <v>53086.844</v>
      </c>
    </row>
    <row r="9">
      <c r="B9" s="173" t="n">
        <v>2025</v>
      </c>
      <c r="C9" s="174" t="n">
        <v>16.919</v>
      </c>
      <c r="D9" s="174" t="n">
        <v>56.423</v>
      </c>
      <c r="E9" s="174" t="n">
        <v>82.95099999999999</v>
      </c>
      <c r="F9" s="174" t="n">
        <v>169.16</v>
      </c>
      <c r="G9" s="174" t="n">
        <v>801.8339999999999</v>
      </c>
      <c r="H9" s="174" t="n">
        <v>1719.764</v>
      </c>
      <c r="I9" s="174" t="n">
        <v>2230.41</v>
      </c>
      <c r="J9" s="174" t="n">
        <v>4548.41</v>
      </c>
      <c r="K9" s="174" t="n">
        <v>6789.294</v>
      </c>
      <c r="L9" s="174" t="n">
        <v>20590.704</v>
      </c>
      <c r="M9" s="174" t="n">
        <v>29914.439</v>
      </c>
      <c r="N9" s="174" t="n">
        <v>54294.562</v>
      </c>
    </row>
    <row r="10">
      <c r="B10" s="173" t="n">
        <v>2026</v>
      </c>
      <c r="C10" s="174" t="n">
        <v>17.408</v>
      </c>
      <c r="D10" s="174" t="n">
        <v>57.491</v>
      </c>
      <c r="E10" s="174" t="n">
        <v>84.25700000000001</v>
      </c>
      <c r="F10" s="174" t="n">
        <v>172.67</v>
      </c>
      <c r="G10" s="174" t="n">
        <v>829.063</v>
      </c>
      <c r="H10" s="174" t="n">
        <v>1766.701</v>
      </c>
      <c r="I10" s="174" t="n">
        <v>2285.851</v>
      </c>
      <c r="J10" s="174" t="n">
        <v>4676.818</v>
      </c>
      <c r="K10" s="174" t="n">
        <v>6991.268</v>
      </c>
      <c r="L10" s="174" t="n">
        <v>21027.785</v>
      </c>
      <c r="M10" s="174" t="n">
        <v>30471.165</v>
      </c>
      <c r="N10" s="174" t="n">
        <v>55502.279</v>
      </c>
    </row>
    <row r="11">
      <c r="B11" s="173" t="n">
        <v>2027</v>
      </c>
      <c r="C11" s="174" t="n">
        <v>17.897</v>
      </c>
      <c r="D11" s="174" t="n">
        <v>58.56</v>
      </c>
      <c r="E11" s="174" t="n">
        <v>85.563</v>
      </c>
      <c r="F11" s="174" t="n">
        <v>176.181</v>
      </c>
      <c r="G11" s="174" t="n">
        <v>856.292</v>
      </c>
      <c r="H11" s="174" t="n">
        <v>1813.639</v>
      </c>
      <c r="I11" s="174" t="n">
        <v>2341.291</v>
      </c>
      <c r="J11" s="174" t="n">
        <v>4805.226</v>
      </c>
      <c r="K11" s="174" t="n">
        <v>7193.242</v>
      </c>
      <c r="L11" s="174" t="n">
        <v>21464.867</v>
      </c>
      <c r="M11" s="174" t="n">
        <v>31027.892</v>
      </c>
      <c r="N11" s="174" t="n">
        <v>56709.997</v>
      </c>
    </row>
    <row r="12">
      <c r="B12" s="173" t="n">
        <v>2028</v>
      </c>
      <c r="C12" s="174" t="n">
        <v>18.386</v>
      </c>
      <c r="D12" s="174" t="n">
        <v>59.628</v>
      </c>
      <c r="E12" s="174" t="n">
        <v>86.869</v>
      </c>
      <c r="F12" s="174" t="n">
        <v>179.691</v>
      </c>
      <c r="G12" s="174" t="n">
        <v>883.521</v>
      </c>
      <c r="H12" s="174" t="n">
        <v>1860.576</v>
      </c>
      <c r="I12" s="174" t="n">
        <v>2396.731</v>
      </c>
      <c r="J12" s="174" t="n">
        <v>4933.634</v>
      </c>
      <c r="K12" s="174" t="n">
        <v>7395.215</v>
      </c>
      <c r="L12" s="174" t="n">
        <v>21901.948</v>
      </c>
      <c r="M12" s="174" t="n">
        <v>31584.618</v>
      </c>
      <c r="N12" s="174" t="n">
        <v>57917.715</v>
      </c>
    </row>
    <row r="13">
      <c r="B13" s="173" t="n">
        <v>2029</v>
      </c>
      <c r="C13" s="174" t="n">
        <v>18.874</v>
      </c>
      <c r="D13" s="174" t="n">
        <v>60.696</v>
      </c>
      <c r="E13" s="174" t="n">
        <v>88.175</v>
      </c>
      <c r="F13" s="174" t="n">
        <v>183.201</v>
      </c>
      <c r="G13" s="174" t="n">
        <v>910.75</v>
      </c>
      <c r="H13" s="174" t="n">
        <v>1907.513</v>
      </c>
      <c r="I13" s="174" t="n">
        <v>2452.171</v>
      </c>
      <c r="J13" s="174" t="n">
        <v>5062.042</v>
      </c>
      <c r="K13" s="174" t="n">
        <v>7597.189</v>
      </c>
      <c r="L13" s="174" t="n">
        <v>22339.029</v>
      </c>
      <c r="M13" s="174" t="n">
        <v>32141.345</v>
      </c>
      <c r="N13" s="174" t="n">
        <v>59125.432</v>
      </c>
    </row>
    <row r="14">
      <c r="B14" s="173" t="n">
        <v>2030</v>
      </c>
      <c r="C14" s="174" t="n">
        <v>19.363</v>
      </c>
      <c r="D14" s="174" t="n">
        <v>61.764</v>
      </c>
      <c r="E14" s="174" t="n">
        <v>89.48099999999999</v>
      </c>
      <c r="F14" s="174" t="n">
        <v>186.712</v>
      </c>
      <c r="G14" s="174" t="n">
        <v>937.979</v>
      </c>
      <c r="H14" s="174" t="n">
        <v>1954.45</v>
      </c>
      <c r="I14" s="174" t="n">
        <v>2507.612</v>
      </c>
      <c r="J14" s="174" t="n">
        <v>5190.45</v>
      </c>
      <c r="K14" s="174" t="n">
        <v>7799.163</v>
      </c>
      <c r="L14" s="174" t="n">
        <v>22776.11</v>
      </c>
      <c r="M14" s="174" t="n">
        <v>32698.071</v>
      </c>
      <c r="N14" s="174" t="n">
        <v>60333.15</v>
      </c>
    </row>
    <row r="15">
      <c r="B15" s="173" t="n">
        <v>2031</v>
      </c>
      <c r="C15" s="174" t="n">
        <v>19.947</v>
      </c>
      <c r="D15" s="174" t="n">
        <v>62.908</v>
      </c>
      <c r="E15" s="174" t="n">
        <v>90.84399999999999</v>
      </c>
      <c r="F15" s="174" t="n">
        <v>190.535</v>
      </c>
      <c r="G15" s="174" t="n">
        <v>972.355</v>
      </c>
      <c r="H15" s="174" t="n">
        <v>2009.824</v>
      </c>
      <c r="I15" s="174" t="n">
        <v>2571.507</v>
      </c>
      <c r="J15" s="174" t="n">
        <v>5344.225</v>
      </c>
      <c r="K15" s="174" t="n">
        <v>8046.879</v>
      </c>
      <c r="L15" s="174" t="n">
        <v>23268.02</v>
      </c>
      <c r="M15" s="174" t="n">
        <v>33309.463</v>
      </c>
      <c r="N15" s="174" t="n">
        <v>61692.265</v>
      </c>
    </row>
    <row r="16">
      <c r="B16" s="173" t="n">
        <v>2032</v>
      </c>
      <c r="C16" s="174" t="n">
        <v>20.53</v>
      </c>
      <c r="D16" s="174" t="n">
        <v>64.05200000000001</v>
      </c>
      <c r="E16" s="174" t="n">
        <v>92.20699999999999</v>
      </c>
      <c r="F16" s="174" t="n">
        <v>194.359</v>
      </c>
      <c r="G16" s="174" t="n">
        <v>1006.731</v>
      </c>
      <c r="H16" s="174" t="n">
        <v>2065.198</v>
      </c>
      <c r="I16" s="174" t="n">
        <v>2635.403</v>
      </c>
      <c r="J16" s="174" t="n">
        <v>5498.001</v>
      </c>
      <c r="K16" s="174" t="n">
        <v>8294.594999999999</v>
      </c>
      <c r="L16" s="174" t="n">
        <v>23759.929</v>
      </c>
      <c r="M16" s="174" t="n">
        <v>33920.854</v>
      </c>
      <c r="N16" s="174" t="n">
        <v>63051.381</v>
      </c>
    </row>
    <row r="17">
      <c r="B17" s="173" t="n">
        <v>2033</v>
      </c>
      <c r="C17" s="174" t="n">
        <v>21.114</v>
      </c>
      <c r="D17" s="174" t="n">
        <v>65.196</v>
      </c>
      <c r="E17" s="174" t="n">
        <v>93.56999999999999</v>
      </c>
      <c r="F17" s="174" t="n">
        <v>198.183</v>
      </c>
      <c r="G17" s="174" t="n">
        <v>1041.107</v>
      </c>
      <c r="H17" s="174" t="n">
        <v>2120.572</v>
      </c>
      <c r="I17" s="174" t="n">
        <v>2699.299</v>
      </c>
      <c r="J17" s="174" t="n">
        <v>5651.776</v>
      </c>
      <c r="K17" s="174" t="n">
        <v>8542.311</v>
      </c>
      <c r="L17" s="174" t="n">
        <v>24251.838</v>
      </c>
      <c r="M17" s="174" t="n">
        <v>34532.245</v>
      </c>
      <c r="N17" s="174" t="n">
        <v>64410.496</v>
      </c>
    </row>
    <row r="18">
      <c r="B18" s="173" t="n">
        <v>2034</v>
      </c>
      <c r="C18" s="174" t="n">
        <v>21.697</v>
      </c>
      <c r="D18" s="174" t="n">
        <v>66.34</v>
      </c>
      <c r="E18" s="174" t="n">
        <v>94.934</v>
      </c>
      <c r="F18" s="174" t="n">
        <v>202.006</v>
      </c>
      <c r="G18" s="174" t="n">
        <v>1075.483</v>
      </c>
      <c r="H18" s="174" t="n">
        <v>2175.946</v>
      </c>
      <c r="I18" s="174" t="n">
        <v>2763.195</v>
      </c>
      <c r="J18" s="174" t="n">
        <v>5805.552</v>
      </c>
      <c r="K18" s="174" t="n">
        <v>8790.027</v>
      </c>
      <c r="L18" s="174" t="n">
        <v>24743.748</v>
      </c>
      <c r="M18" s="174" t="n">
        <v>35143.636</v>
      </c>
      <c r="N18" s="174" t="n">
        <v>65769.611</v>
      </c>
    </row>
    <row r="19">
      <c r="B19" s="173" t="n">
        <v>2035</v>
      </c>
      <c r="C19" s="174" t="n">
        <v>22.281</v>
      </c>
      <c r="D19" s="174" t="n">
        <v>67.48399999999999</v>
      </c>
      <c r="E19" s="174" t="n">
        <v>96.297</v>
      </c>
      <c r="F19" s="174" t="n">
        <v>205.83</v>
      </c>
      <c r="G19" s="174" t="n">
        <v>1109.859</v>
      </c>
      <c r="H19" s="174" t="n">
        <v>2231.32</v>
      </c>
      <c r="I19" s="174" t="n">
        <v>2827.091</v>
      </c>
      <c r="J19" s="174" t="n">
        <v>5959.327</v>
      </c>
      <c r="K19" s="174" t="n">
        <v>9037.743</v>
      </c>
      <c r="L19" s="174" t="n">
        <v>25235.657</v>
      </c>
      <c r="M19" s="174" t="n">
        <v>35755.028</v>
      </c>
      <c r="N19" s="174" t="n">
        <v>67128.727</v>
      </c>
    </row>
    <row r="20">
      <c r="B20" s="173" t="n">
        <v>2036</v>
      </c>
      <c r="C20" s="174" t="n">
        <v>22.864</v>
      </c>
      <c r="D20" s="174" t="n">
        <v>68.628</v>
      </c>
      <c r="E20" s="174" t="n">
        <v>97.66</v>
      </c>
      <c r="F20" s="174" t="n">
        <v>209.654</v>
      </c>
      <c r="G20" s="174" t="n">
        <v>1144.235</v>
      </c>
      <c r="H20" s="174" t="n">
        <v>2286.694</v>
      </c>
      <c r="I20" s="174" t="n">
        <v>2890.986</v>
      </c>
      <c r="J20" s="174" t="n">
        <v>6113.103</v>
      </c>
      <c r="K20" s="174" t="n">
        <v>9285.459000000001</v>
      </c>
      <c r="L20" s="174" t="n">
        <v>25727.567</v>
      </c>
      <c r="M20" s="174" t="n">
        <v>36366.419</v>
      </c>
      <c r="N20" s="174" t="n">
        <v>68487.842</v>
      </c>
    </row>
    <row r="21">
      <c r="B21" s="173" t="n">
        <v>2037</v>
      </c>
      <c r="C21" s="174" t="n">
        <v>23.448</v>
      </c>
      <c r="D21" s="174" t="n">
        <v>69.77200000000001</v>
      </c>
      <c r="E21" s="174" t="n">
        <v>99.023</v>
      </c>
      <c r="F21" s="174" t="n">
        <v>213.477</v>
      </c>
      <c r="G21" s="174" t="n">
        <v>1178.611</v>
      </c>
      <c r="H21" s="174" t="n">
        <v>2342.068</v>
      </c>
      <c r="I21" s="174" t="n">
        <v>2954.882</v>
      </c>
      <c r="J21" s="174" t="n">
        <v>6266.878</v>
      </c>
      <c r="K21" s="174" t="n">
        <v>9533.174999999999</v>
      </c>
      <c r="L21" s="174" t="n">
        <v>26219.476</v>
      </c>
      <c r="M21" s="174" t="n">
        <v>36977.81</v>
      </c>
      <c r="N21" s="174" t="n">
        <v>69846.958</v>
      </c>
    </row>
    <row r="22">
      <c r="B22" s="173" t="n">
        <v>2038</v>
      </c>
      <c r="C22" s="174" t="n">
        <v>24.031</v>
      </c>
      <c r="D22" s="174" t="n">
        <v>70.916</v>
      </c>
      <c r="E22" s="174" t="n">
        <v>100.387</v>
      </c>
      <c r="F22" s="174" t="n">
        <v>217.301</v>
      </c>
      <c r="G22" s="174" t="n">
        <v>1212.987</v>
      </c>
      <c r="H22" s="174" t="n">
        <v>2397.441</v>
      </c>
      <c r="I22" s="174" t="n">
        <v>3018.778</v>
      </c>
      <c r="J22" s="174" t="n">
        <v>6420.653</v>
      </c>
      <c r="K22" s="174" t="n">
        <v>9780.891</v>
      </c>
      <c r="L22" s="174" t="n">
        <v>26711.385</v>
      </c>
      <c r="M22" s="174" t="n">
        <v>37589.202</v>
      </c>
      <c r="N22" s="174" t="n">
        <v>71206.073</v>
      </c>
    </row>
    <row r="23">
      <c r="B23" s="173" t="n">
        <v>2039</v>
      </c>
      <c r="C23" s="174" t="n">
        <v>24.615</v>
      </c>
      <c r="D23" s="174" t="n">
        <v>72.06</v>
      </c>
      <c r="E23" s="174" t="n">
        <v>101.75</v>
      </c>
      <c r="F23" s="174" t="n">
        <v>221.124</v>
      </c>
      <c r="G23" s="174" t="n">
        <v>1247.363</v>
      </c>
      <c r="H23" s="174" t="n">
        <v>2452.815</v>
      </c>
      <c r="I23" s="174" t="n">
        <v>3082.674</v>
      </c>
      <c r="J23" s="174" t="n">
        <v>6574.429</v>
      </c>
      <c r="K23" s="174" t="n">
        <v>10028.607</v>
      </c>
      <c r="L23" s="174" t="n">
        <v>27203.295</v>
      </c>
      <c r="M23" s="174" t="n">
        <v>38200.593</v>
      </c>
      <c r="N23" s="174" t="n">
        <v>72565.18799999999</v>
      </c>
    </row>
    <row r="24">
      <c r="B24" s="173" t="n">
        <v>2040</v>
      </c>
      <c r="C24" s="174" t="n">
        <v>25.199</v>
      </c>
      <c r="D24" s="174" t="n">
        <v>73.20399999999999</v>
      </c>
      <c r="E24" s="174" t="n">
        <v>103.113</v>
      </c>
      <c r="F24" s="174" t="n">
        <v>224.948</v>
      </c>
      <c r="G24" s="174" t="n">
        <v>1281.739</v>
      </c>
      <c r="H24" s="174" t="n">
        <v>2508.189</v>
      </c>
      <c r="I24" s="174" t="n">
        <v>3146.569</v>
      </c>
      <c r="J24" s="174" t="n">
        <v>6728.204</v>
      </c>
      <c r="K24" s="174" t="n">
        <v>10276.323</v>
      </c>
      <c r="L24" s="174" t="n">
        <v>27695.204</v>
      </c>
      <c r="M24" s="174" t="n">
        <v>38811.984</v>
      </c>
      <c r="N24" s="174" t="n">
        <v>73924.304</v>
      </c>
    </row>
    <row r="25">
      <c r="B25" s="173" t="n">
        <v>2041</v>
      </c>
      <c r="C25" s="174" t="n">
        <v>25.845</v>
      </c>
      <c r="D25" s="174" t="n">
        <v>74.34999999999999</v>
      </c>
      <c r="E25" s="174" t="n">
        <v>104.449</v>
      </c>
      <c r="F25" s="174" t="n">
        <v>228.448</v>
      </c>
      <c r="G25" s="174" t="n">
        <v>1319.241</v>
      </c>
      <c r="H25" s="174" t="n">
        <v>2564.102</v>
      </c>
      <c r="I25" s="174" t="n">
        <v>3209.556</v>
      </c>
      <c r="J25" s="174" t="n">
        <v>6872.909</v>
      </c>
      <c r="K25" s="174" t="n">
        <v>10566.545</v>
      </c>
      <c r="L25" s="174" t="n">
        <v>28224.594</v>
      </c>
      <c r="M25" s="174" t="n">
        <v>39456.17</v>
      </c>
      <c r="N25" s="174" t="n">
        <v>75348.507</v>
      </c>
    </row>
    <row r="26">
      <c r="B26" s="173" t="n">
        <v>2042</v>
      </c>
      <c r="C26" s="174" t="n">
        <v>26.491</v>
      </c>
      <c r="D26" s="174" t="n">
        <v>75.496</v>
      </c>
      <c r="E26" s="174" t="n">
        <v>105.785</v>
      </c>
      <c r="F26" s="174" t="n">
        <v>231.947</v>
      </c>
      <c r="G26" s="174" t="n">
        <v>1356.743</v>
      </c>
      <c r="H26" s="174" t="n">
        <v>2620.014</v>
      </c>
      <c r="I26" s="174" t="n">
        <v>3272.542</v>
      </c>
      <c r="J26" s="174" t="n">
        <v>7017.614</v>
      </c>
      <c r="K26" s="174" t="n">
        <v>10856.768</v>
      </c>
      <c r="L26" s="174" t="n">
        <v>28753.983</v>
      </c>
      <c r="M26" s="174" t="n">
        <v>40100.356</v>
      </c>
      <c r="N26" s="174" t="n">
        <v>76772.71000000001</v>
      </c>
    </row>
    <row r="27">
      <c r="B27" s="173" t="n">
        <v>2043</v>
      </c>
      <c r="C27" s="174" t="n">
        <v>27.137</v>
      </c>
      <c r="D27" s="174" t="n">
        <v>76.642</v>
      </c>
      <c r="E27" s="174" t="n">
        <v>107.12</v>
      </c>
      <c r="F27" s="174" t="n">
        <v>235.447</v>
      </c>
      <c r="G27" s="174" t="n">
        <v>1394.244</v>
      </c>
      <c r="H27" s="174" t="n">
        <v>2675.927</v>
      </c>
      <c r="I27" s="174" t="n">
        <v>3335.528</v>
      </c>
      <c r="J27" s="174" t="n">
        <v>7162.319</v>
      </c>
      <c r="K27" s="174" t="n">
        <v>11146.991</v>
      </c>
      <c r="L27" s="174" t="n">
        <v>29283.373</v>
      </c>
      <c r="M27" s="174" t="n">
        <v>40744.542</v>
      </c>
      <c r="N27" s="174" t="n">
        <v>78196.914</v>
      </c>
    </row>
    <row r="28">
      <c r="B28" s="173" t="n">
        <v>2044</v>
      </c>
      <c r="C28" s="174" t="n">
        <v>27.783</v>
      </c>
      <c r="D28" s="174" t="n">
        <v>77.788</v>
      </c>
      <c r="E28" s="174" t="n">
        <v>108.456</v>
      </c>
      <c r="F28" s="174" t="n">
        <v>238.947</v>
      </c>
      <c r="G28" s="174" t="n">
        <v>1431.746</v>
      </c>
      <c r="H28" s="174" t="n">
        <v>2731.839</v>
      </c>
      <c r="I28" s="174" t="n">
        <v>3398.515</v>
      </c>
      <c r="J28" s="174" t="n">
        <v>7307.023</v>
      </c>
      <c r="K28" s="174" t="n">
        <v>11437.213</v>
      </c>
      <c r="L28" s="174" t="n">
        <v>29812.763</v>
      </c>
      <c r="M28" s="174" t="n">
        <v>41388.727</v>
      </c>
      <c r="N28" s="174" t="n">
        <v>79621.117</v>
      </c>
    </row>
    <row r="29">
      <c r="B29" s="173" t="n">
        <v>2045</v>
      </c>
      <c r="C29" s="174" t="n">
        <v>28.429</v>
      </c>
      <c r="D29" s="174" t="n">
        <v>78.93300000000001</v>
      </c>
      <c r="E29" s="174" t="n">
        <v>109.792</v>
      </c>
      <c r="F29" s="174" t="n">
        <v>242.447</v>
      </c>
      <c r="G29" s="174" t="n">
        <v>1469.247</v>
      </c>
      <c r="H29" s="174" t="n">
        <v>2787.751</v>
      </c>
      <c r="I29" s="174" t="n">
        <v>3461.501</v>
      </c>
      <c r="J29" s="174" t="n">
        <v>7451.728</v>
      </c>
      <c r="K29" s="174" t="n">
        <v>11727.436</v>
      </c>
      <c r="L29" s="174" t="n">
        <v>30342.152</v>
      </c>
      <c r="M29" s="174" t="n">
        <v>42032.913</v>
      </c>
      <c r="N29" s="174" t="n">
        <v>81045.32000000001</v>
      </c>
    </row>
    <row r="30">
      <c r="B30" s="173" t="n">
        <v>2046</v>
      </c>
      <c r="C30" s="174" t="n">
        <v>29.076</v>
      </c>
      <c r="D30" s="174" t="n">
        <v>80.07899999999999</v>
      </c>
      <c r="E30" s="174" t="n">
        <v>111.128</v>
      </c>
      <c r="F30" s="174" t="n">
        <v>245.946</v>
      </c>
      <c r="G30" s="174" t="n">
        <v>1506.749</v>
      </c>
      <c r="H30" s="174" t="n">
        <v>2843.664</v>
      </c>
      <c r="I30" s="174" t="n">
        <v>3524.487</v>
      </c>
      <c r="J30" s="174" t="n">
        <v>7596.433</v>
      </c>
      <c r="K30" s="174" t="n">
        <v>12017.659</v>
      </c>
      <c r="L30" s="174" t="n">
        <v>30871.542</v>
      </c>
      <c r="M30" s="174" t="n">
        <v>42677.099</v>
      </c>
      <c r="N30" s="174" t="n">
        <v>82469.524</v>
      </c>
    </row>
    <row r="31">
      <c r="B31" s="173" t="n">
        <v>2047</v>
      </c>
      <c r="C31" s="174" t="n">
        <v>29.722</v>
      </c>
      <c r="D31" s="174" t="n">
        <v>81.22499999999999</v>
      </c>
      <c r="E31" s="174" t="n">
        <v>112.464</v>
      </c>
      <c r="F31" s="174" t="n">
        <v>249.446</v>
      </c>
      <c r="G31" s="174" t="n">
        <v>1544.25</v>
      </c>
      <c r="H31" s="174" t="n">
        <v>2899.576</v>
      </c>
      <c r="I31" s="174" t="n">
        <v>3587.474</v>
      </c>
      <c r="J31" s="174" t="n">
        <v>7741.138</v>
      </c>
      <c r="K31" s="174" t="n">
        <v>12307.881</v>
      </c>
      <c r="L31" s="174" t="n">
        <v>31400.932</v>
      </c>
      <c r="M31" s="174" t="n">
        <v>43321.285</v>
      </c>
      <c r="N31" s="174" t="n">
        <v>83893.727</v>
      </c>
    </row>
    <row r="32">
      <c r="B32" s="173" t="n">
        <v>2048</v>
      </c>
      <c r="C32" s="174" t="n">
        <v>30.368</v>
      </c>
      <c r="D32" s="174" t="n">
        <v>82.371</v>
      </c>
      <c r="E32" s="174" t="n">
        <v>113.799</v>
      </c>
      <c r="F32" s="174" t="n">
        <v>252.946</v>
      </c>
      <c r="G32" s="174" t="n">
        <v>1581.752</v>
      </c>
      <c r="H32" s="174" t="n">
        <v>2955.489</v>
      </c>
      <c r="I32" s="174" t="n">
        <v>3650.46</v>
      </c>
      <c r="J32" s="174" t="n">
        <v>7885.842</v>
      </c>
      <c r="K32" s="174" t="n">
        <v>12598.104</v>
      </c>
      <c r="L32" s="174" t="n">
        <v>31930.321</v>
      </c>
      <c r="M32" s="174" t="n">
        <v>43965.471</v>
      </c>
      <c r="N32" s="174" t="n">
        <v>85317.92999999999</v>
      </c>
    </row>
    <row r="33">
      <c r="B33" s="173" t="n">
        <v>2049</v>
      </c>
      <c r="C33" s="174" t="n">
        <v>31.014</v>
      </c>
      <c r="D33" s="174" t="n">
        <v>83.51600000000001</v>
      </c>
      <c r="E33" s="174" t="n">
        <v>115.135</v>
      </c>
      <c r="F33" s="174" t="n">
        <v>256.445</v>
      </c>
      <c r="G33" s="174" t="n">
        <v>1619.253</v>
      </c>
      <c r="H33" s="174" t="n">
        <v>3011.401</v>
      </c>
      <c r="I33" s="174" t="n">
        <v>3713.446</v>
      </c>
      <c r="J33" s="174" t="n">
        <v>8030.547</v>
      </c>
      <c r="K33" s="174" t="n">
        <v>12888.327</v>
      </c>
      <c r="L33" s="174" t="n">
        <v>32459.711</v>
      </c>
      <c r="M33" s="174" t="n">
        <v>44609.656</v>
      </c>
      <c r="N33" s="174" t="n">
        <v>86742.13400000001</v>
      </c>
    </row>
    <row r="34">
      <c r="B34" s="173" t="n">
        <v>2050</v>
      </c>
      <c r="C34" s="174" t="n">
        <v>31.66</v>
      </c>
      <c r="D34" s="174" t="n">
        <v>84.66200000000001</v>
      </c>
      <c r="E34" s="174" t="n">
        <v>116.471</v>
      </c>
      <c r="F34" s="174" t="n">
        <v>259.945</v>
      </c>
      <c r="G34" s="174" t="n">
        <v>1656.755</v>
      </c>
      <c r="H34" s="174" t="n">
        <v>3067.314</v>
      </c>
      <c r="I34" s="174" t="n">
        <v>3776.432</v>
      </c>
      <c r="J34" s="174" t="n">
        <v>8175.252</v>
      </c>
      <c r="K34" s="174" t="n">
        <v>13178.549</v>
      </c>
      <c r="L34" s="174" t="n">
        <v>32989.101</v>
      </c>
      <c r="M34" s="174" t="n">
        <v>45253.842</v>
      </c>
      <c r="N34" s="174" t="n">
        <v>88166.337</v>
      </c>
    </row>
  </sheetData>
  <hyperlinks>
    <hyperlink xmlns:r="http://schemas.openxmlformats.org/officeDocument/2006/relationships" ref="A1" location="scghgs" r:id="rId1"/>
  </hyperlink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Q112"/>
  <sheetViews>
    <sheetView workbookViewId="0">
      <pane ySplit="13" topLeftCell="A14" activePane="bottomLeft" state="frozen"/>
      <selection pane="bottomLeft" activeCell="B15" sqref="B15"/>
    </sheetView>
  </sheetViews>
  <sheetFormatPr baseColWidth="8" defaultColWidth="12.63" defaultRowHeight="15.75" customHeight="1"/>
  <sheetData>
    <row r="1">
      <c r="A1" s="262" t="inlineStr">
        <is>
          <t xml:space="preserve">Source: https://assets.publishing.service.gov.uk/media/6567994fcc1ec5000d8eef17/data-tables-1-19.xlsx </t>
        </is>
      </c>
    </row>
    <row r="4">
      <c r="A4" s="83" t="n"/>
      <c r="B4" s="175" t="inlineStr">
        <is>
          <t>Table 1: Electricity emissions factors to 2100, kgCO2e/kWh</t>
        </is>
      </c>
      <c r="C4" s="169" t="n"/>
      <c r="D4" s="169" t="n"/>
      <c r="E4" s="169" t="n"/>
      <c r="F4" s="169" t="n"/>
      <c r="G4" s="169" t="n"/>
      <c r="H4" s="169" t="n"/>
      <c r="I4" s="169" t="n"/>
      <c r="J4" s="169" t="n"/>
      <c r="K4" s="169" t="n"/>
      <c r="L4" s="169" t="n"/>
      <c r="M4" s="169" t="n"/>
      <c r="N4" s="169" t="n"/>
      <c r="O4" s="169" t="n"/>
      <c r="P4" s="169" t="n"/>
      <c r="Q4" s="85" t="n"/>
    </row>
    <row r="5">
      <c r="A5" s="83" t="n"/>
      <c r="B5" s="301" t="inlineStr">
        <is>
          <t>Consumption and generation-based emissions factors.</t>
        </is>
      </c>
      <c r="C5" s="285" t="n"/>
      <c r="D5" s="285" t="n"/>
      <c r="E5" s="285" t="n"/>
      <c r="F5" s="285" t="n"/>
      <c r="G5" s="285" t="n"/>
      <c r="H5" s="285" t="n"/>
      <c r="I5" s="285" t="n"/>
      <c r="J5" s="286" t="n"/>
      <c r="K5" s="169" t="n"/>
      <c r="L5" s="169" t="n"/>
      <c r="M5" s="169" t="n"/>
      <c r="N5" s="169" t="n"/>
      <c r="O5" s="169" t="n"/>
      <c r="P5" s="169" t="n"/>
      <c r="Q5" s="85" t="n"/>
    </row>
    <row r="6">
      <c r="A6" s="83" t="n"/>
      <c r="B6" s="169" t="n"/>
      <c r="C6" s="169" t="n"/>
      <c r="D6" s="169" t="n"/>
      <c r="E6" s="169" t="n"/>
      <c r="F6" s="169" t="n"/>
      <c r="G6" s="169" t="n"/>
      <c r="H6" s="169" t="n"/>
      <c r="I6" s="169" t="n"/>
      <c r="J6" s="169" t="n"/>
      <c r="K6" s="169" t="n"/>
      <c r="L6" s="169" t="n"/>
      <c r="M6" s="169" t="n"/>
      <c r="N6" s="169" t="n"/>
      <c r="O6" s="169" t="n"/>
      <c r="P6" s="169" t="n"/>
      <c r="Q6" s="85" t="n"/>
    </row>
    <row r="7">
      <c r="A7" s="83" t="n"/>
      <c r="B7" s="170" t="inlineStr">
        <is>
          <t>Analysts should use consumption-based emissions factors for measuring GHG emissions per unit of final energy demand. These emissions factors include transmission and distribution losses, including significant losses due to power station inefficiency. Generation-based emissions factors measure GHG emissions per unit of electricity generated.</t>
        </is>
      </c>
      <c r="C7" s="285" t="n"/>
      <c r="D7" s="285" t="n"/>
      <c r="E7" s="285" t="n"/>
      <c r="F7" s="285" t="n"/>
      <c r="G7" s="285" t="n"/>
      <c r="H7" s="285" t="n"/>
      <c r="I7" s="285" t="n"/>
      <c r="J7" s="286" t="n"/>
      <c r="K7" s="169" t="n"/>
      <c r="L7" s="169" t="n"/>
      <c r="M7" s="169" t="n"/>
      <c r="N7" s="169" t="n"/>
      <c r="O7" s="169" t="n"/>
      <c r="P7" s="169" t="n"/>
      <c r="Q7" s="85" t="n"/>
    </row>
    <row r="8">
      <c r="A8" s="83" t="n"/>
      <c r="B8" s="169" t="n"/>
      <c r="C8" s="169" t="n"/>
      <c r="D8" s="169" t="n"/>
      <c r="E8" s="169" t="n"/>
      <c r="F8" s="169" t="n"/>
      <c r="G8" s="169" t="n"/>
      <c r="H8" s="169" t="n"/>
      <c r="I8" s="169" t="n"/>
      <c r="J8" s="169" t="n"/>
      <c r="K8" s="169" t="n"/>
      <c r="L8" s="169" t="n"/>
      <c r="M8" s="169" t="n"/>
      <c r="N8" s="169" t="n"/>
      <c r="O8" s="169" t="n"/>
      <c r="P8" s="169" t="n"/>
      <c r="Q8" s="85" t="n"/>
    </row>
    <row r="9">
      <c r="A9" s="83" t="n"/>
      <c r="B9" s="168" t="inlineStr">
        <is>
          <t>Long-run marginal emissions factors should be used for measuring small changes in consumption or generation. Grid average emissions factors are used for footprinting.</t>
        </is>
      </c>
      <c r="C9" s="285" t="n"/>
      <c r="D9" s="285" t="n"/>
      <c r="E9" s="285" t="n"/>
      <c r="F9" s="285" t="n"/>
      <c r="G9" s="285" t="n"/>
      <c r="H9" s="285" t="n"/>
      <c r="I9" s="285" t="n"/>
      <c r="J9" s="286" t="n"/>
      <c r="K9" s="169" t="n"/>
      <c r="L9" s="169" t="n"/>
      <c r="M9" s="169" t="n"/>
      <c r="N9" s="169" t="n"/>
      <c r="O9" s="169" t="n"/>
      <c r="P9" s="169" t="n"/>
      <c r="Q9" s="85" t="n"/>
    </row>
    <row r="10">
      <c r="A10" s="83" t="n"/>
      <c r="B10" s="141" t="n"/>
      <c r="C10" s="141" t="n"/>
      <c r="D10" s="141" t="n"/>
      <c r="E10" s="141" t="n"/>
      <c r="F10" s="141" t="n"/>
      <c r="G10" s="141" t="n"/>
      <c r="H10" s="141" t="n"/>
      <c r="I10" s="141" t="n"/>
      <c r="J10" s="141" t="n"/>
      <c r="K10" s="169" t="n"/>
      <c r="L10" s="169" t="n"/>
      <c r="M10" s="169" t="n"/>
      <c r="N10" s="169" t="n"/>
      <c r="O10" s="169" t="n"/>
      <c r="P10" s="169" t="n"/>
      <c r="Q10" s="85" t="n"/>
    </row>
    <row r="11">
      <c r="A11" s="150" t="n"/>
      <c r="B11" s="179" t="n"/>
      <c r="C11" s="302" t="inlineStr">
        <is>
          <t>Long-run marginal</t>
        </is>
      </c>
      <c r="D11" s="298" t="n"/>
      <c r="E11" s="298" t="n"/>
      <c r="F11" s="299" t="n"/>
      <c r="G11" s="302" t="inlineStr">
        <is>
          <t>Grid average</t>
        </is>
      </c>
      <c r="H11" s="298" t="n"/>
      <c r="I11" s="298" t="n"/>
      <c r="J11" s="299" t="n"/>
      <c r="K11" s="181" t="n"/>
      <c r="L11" s="169" t="n"/>
      <c r="M11" s="169" t="n"/>
      <c r="N11" s="169" t="n"/>
      <c r="O11" s="169" t="n"/>
      <c r="P11" s="169" t="n"/>
      <c r="Q11" s="85" t="n"/>
    </row>
    <row r="12">
      <c r="A12" s="150" t="n"/>
      <c r="B12" s="182" t="n"/>
      <c r="C12" s="303" t="inlineStr">
        <is>
          <t>Consumption-based</t>
        </is>
      </c>
      <c r="D12" s="285" t="n"/>
      <c r="E12" s="304" t="n"/>
      <c r="F12" s="305" t="inlineStr">
        <is>
          <t>Generation-based</t>
        </is>
      </c>
      <c r="G12" s="303" t="inlineStr">
        <is>
          <t>Consumption-based</t>
        </is>
      </c>
      <c r="H12" s="285" t="n"/>
      <c r="I12" s="304" t="n"/>
      <c r="J12" s="305" t="inlineStr">
        <is>
          <t>Generation-based</t>
        </is>
      </c>
      <c r="K12" s="186" t="n"/>
      <c r="L12" s="169" t="n"/>
      <c r="M12" s="169" t="n"/>
      <c r="N12" s="169" t="n"/>
      <c r="O12" s="169" t="n"/>
      <c r="P12" s="169" t="n"/>
      <c r="Q12" s="85" t="n"/>
    </row>
    <row r="13">
      <c r="A13" s="150" t="n"/>
      <c r="B13" s="187" t="inlineStr">
        <is>
          <t>Year</t>
        </is>
      </c>
      <c r="C13" s="188" t="inlineStr">
        <is>
          <t>Domestic</t>
        </is>
      </c>
      <c r="D13" s="189" t="inlineStr">
        <is>
          <t>Commercial/ Public sector</t>
        </is>
      </c>
      <c r="E13" s="190" t="inlineStr">
        <is>
          <t>Industrial</t>
        </is>
      </c>
      <c r="F13" s="306" t="n"/>
      <c r="G13" s="192" t="inlineStr">
        <is>
          <t>Domestic</t>
        </is>
      </c>
      <c r="H13" s="193" t="inlineStr">
        <is>
          <t>Commercial/ Public sector</t>
        </is>
      </c>
      <c r="I13" s="194" t="inlineStr">
        <is>
          <t>Industrial</t>
        </is>
      </c>
      <c r="J13" s="306" t="n"/>
      <c r="K13" s="186" t="n"/>
      <c r="L13" s="169" t="n"/>
      <c r="M13" s="169" t="n"/>
      <c r="N13" s="195" t="n"/>
      <c r="O13" s="169" t="n"/>
      <c r="P13" s="169" t="n"/>
      <c r="Q13" s="85" t="n"/>
    </row>
    <row r="14">
      <c r="A14" s="150" t="n"/>
      <c r="B14" s="196" t="n">
        <v>2010</v>
      </c>
      <c r="C14" s="197" t="n">
        <v>0.389</v>
      </c>
      <c r="D14" s="198" t="n">
        <v>0.382</v>
      </c>
      <c r="E14" s="199" t="n">
        <v>0.375</v>
      </c>
      <c r="F14" s="200" t="n">
        <v>0.357</v>
      </c>
      <c r="G14" s="197" t="n">
        <v>0.499</v>
      </c>
      <c r="H14" s="198" t="n">
        <v>0.49</v>
      </c>
      <c r="I14" s="199" t="n">
        <v>0.48</v>
      </c>
      <c r="J14" s="200" t="n">
        <v>0.457</v>
      </c>
      <c r="K14" s="186" t="n"/>
      <c r="L14" s="195" t="n"/>
      <c r="M14" s="195" t="n"/>
      <c r="N14" s="195" t="n"/>
      <c r="O14" s="195" t="n"/>
      <c r="P14" s="195" t="n"/>
      <c r="Q14" s="85" t="n"/>
    </row>
    <row r="15">
      <c r="A15" s="150" t="n"/>
      <c r="B15" s="201" t="n">
        <v>2011</v>
      </c>
      <c r="C15" s="202" t="n">
        <v>0.384</v>
      </c>
      <c r="D15" s="203" t="n">
        <v>0.377</v>
      </c>
      <c r="E15" s="204" t="n">
        <v>0.37</v>
      </c>
      <c r="F15" s="205" t="n">
        <v>0.351</v>
      </c>
      <c r="G15" s="202" t="n">
        <v>0.479</v>
      </c>
      <c r="H15" s="203" t="n">
        <v>0.471</v>
      </c>
      <c r="I15" s="204" t="n">
        <v>0.462</v>
      </c>
      <c r="J15" s="205" t="n">
        <v>0.438</v>
      </c>
      <c r="K15" s="186" t="n"/>
      <c r="L15" s="195" t="n"/>
      <c r="M15" s="195" t="n"/>
      <c r="N15" s="195" t="n"/>
      <c r="O15" s="195" t="n"/>
      <c r="P15" s="195" t="n"/>
      <c r="Q15" s="85" t="n"/>
    </row>
    <row r="16">
      <c r="A16" s="150" t="n"/>
      <c r="B16" s="201" t="n">
        <v>2012</v>
      </c>
      <c r="C16" s="202" t="n">
        <v>0.377</v>
      </c>
      <c r="D16" s="203" t="n">
        <v>0.37</v>
      </c>
      <c r="E16" s="204" t="n">
        <v>0.364</v>
      </c>
      <c r="F16" s="205" t="n">
        <v>0.344</v>
      </c>
      <c r="G16" s="202" t="n">
        <v>0.53</v>
      </c>
      <c r="H16" s="203" t="n">
        <v>0.52</v>
      </c>
      <c r="I16" s="204" t="n">
        <v>0.51</v>
      </c>
      <c r="J16" s="205" t="n">
        <v>0.483</v>
      </c>
      <c r="K16" s="186" t="n"/>
      <c r="L16" s="195" t="n"/>
      <c r="M16" s="195" t="n"/>
      <c r="N16" s="195" t="n"/>
      <c r="O16" s="195" t="n"/>
      <c r="P16" s="195" t="n"/>
      <c r="Q16" s="85" t="n"/>
    </row>
    <row r="17">
      <c r="A17" s="150" t="n"/>
      <c r="B17" s="201" t="n">
        <v>2013</v>
      </c>
      <c r="C17" s="202" t="n">
        <v>0.368</v>
      </c>
      <c r="D17" s="203" t="n">
        <v>0.362</v>
      </c>
      <c r="E17" s="204" t="n">
        <v>0.355</v>
      </c>
      <c r="F17" s="205" t="n">
        <v>0.337</v>
      </c>
      <c r="G17" s="202" t="n">
        <v>0.493</v>
      </c>
      <c r="H17" s="203" t="n">
        <v>0.484</v>
      </c>
      <c r="I17" s="204" t="n">
        <v>0.475</v>
      </c>
      <c r="J17" s="205" t="n">
        <v>0.45</v>
      </c>
      <c r="K17" s="186" t="n"/>
      <c r="L17" s="195" t="n"/>
      <c r="M17" s="195" t="n"/>
      <c r="N17" s="195" t="n"/>
      <c r="O17" s="195" t="n"/>
      <c r="P17" s="195" t="n"/>
      <c r="Q17" s="85" t="n"/>
    </row>
    <row r="18">
      <c r="A18" s="150" t="n"/>
      <c r="B18" s="201" t="n">
        <v>2014</v>
      </c>
      <c r="C18" s="202" t="n">
        <v>0.362</v>
      </c>
      <c r="D18" s="203" t="n">
        <v>0.355</v>
      </c>
      <c r="E18" s="204" t="n">
        <v>0.348</v>
      </c>
      <c r="F18" s="205" t="n">
        <v>0.329</v>
      </c>
      <c r="G18" s="202" t="n">
        <v>0.443</v>
      </c>
      <c r="H18" s="203" t="n">
        <v>0.434</v>
      </c>
      <c r="I18" s="204" t="n">
        <v>0.426</v>
      </c>
      <c r="J18" s="205" t="n">
        <v>0.403</v>
      </c>
      <c r="K18" s="186" t="n"/>
      <c r="L18" s="195" t="n"/>
      <c r="M18" s="195" t="n"/>
      <c r="N18" s="195" t="n"/>
      <c r="O18" s="195" t="n"/>
      <c r="P18" s="195" t="n"/>
      <c r="Q18" s="85" t="n"/>
    </row>
    <row r="19">
      <c r="A19" s="150" t="n"/>
      <c r="B19" s="201" t="n">
        <v>2015</v>
      </c>
      <c r="C19" s="202" t="n">
        <v>0.351</v>
      </c>
      <c r="D19" s="203" t="n">
        <v>0.345</v>
      </c>
      <c r="E19" s="204" t="n">
        <v>0.338</v>
      </c>
      <c r="F19" s="205" t="n">
        <v>0.32</v>
      </c>
      <c r="G19" s="202" t="n">
        <v>0.37</v>
      </c>
      <c r="H19" s="203" t="n">
        <v>0.364</v>
      </c>
      <c r="I19" s="204" t="n">
        <v>0.357</v>
      </c>
      <c r="J19" s="205" t="n">
        <v>0.338</v>
      </c>
      <c r="K19" s="186" t="n"/>
      <c r="L19" s="195" t="n"/>
      <c r="M19" s="195" t="n"/>
      <c r="N19" s="195" t="n"/>
      <c r="O19" s="195" t="n"/>
      <c r="P19" s="195" t="n"/>
      <c r="Q19" s="85" t="n"/>
    </row>
    <row r="20">
      <c r="A20" s="150" t="n"/>
      <c r="B20" s="201" t="n">
        <v>2016</v>
      </c>
      <c r="C20" s="202" t="n">
        <v>0.34</v>
      </c>
      <c r="D20" s="203" t="n">
        <v>0.334</v>
      </c>
      <c r="E20" s="204" t="n">
        <v>0.328</v>
      </c>
      <c r="F20" s="205" t="n">
        <v>0.311</v>
      </c>
      <c r="G20" s="202" t="n">
        <v>0.296</v>
      </c>
      <c r="H20" s="203" t="n">
        <v>0.291</v>
      </c>
      <c r="I20" s="204" t="n">
        <v>0.285</v>
      </c>
      <c r="J20" s="205" t="n">
        <v>0.271</v>
      </c>
      <c r="K20" s="186" t="n"/>
      <c r="L20" s="195" t="n"/>
      <c r="M20" s="195" t="n"/>
      <c r="N20" s="195" t="n"/>
      <c r="O20" s="195" t="n"/>
      <c r="P20" s="195" t="n"/>
      <c r="Q20" s="85" t="n"/>
    </row>
    <row r="21">
      <c r="A21" s="150" t="n"/>
      <c r="B21" s="201" t="n">
        <v>2017</v>
      </c>
      <c r="C21" s="202" t="n">
        <v>0.33</v>
      </c>
      <c r="D21" s="203" t="n">
        <v>0.324</v>
      </c>
      <c r="E21" s="204" t="n">
        <v>0.318</v>
      </c>
      <c r="F21" s="205" t="n">
        <v>0.302</v>
      </c>
      <c r="G21" s="202" t="n">
        <v>0.265</v>
      </c>
      <c r="H21" s="203" t="n">
        <v>0.26</v>
      </c>
      <c r="I21" s="204" t="n">
        <v>0.255</v>
      </c>
      <c r="J21" s="205" t="n">
        <v>0.242</v>
      </c>
      <c r="K21" s="186" t="n"/>
      <c r="L21" s="195" t="n"/>
      <c r="M21" s="195" t="n"/>
      <c r="N21" s="195" t="n"/>
      <c r="O21" s="195" t="n"/>
      <c r="P21" s="195" t="n"/>
      <c r="Q21" s="85" t="n"/>
    </row>
    <row r="22">
      <c r="A22" s="150" t="n"/>
      <c r="B22" s="201" t="n">
        <v>2018</v>
      </c>
      <c r="C22" s="202" t="n">
        <v>0.319</v>
      </c>
      <c r="D22" s="203" t="n">
        <v>0.313</v>
      </c>
      <c r="E22" s="204" t="n">
        <v>0.307</v>
      </c>
      <c r="F22" s="205" t="n">
        <v>0.291</v>
      </c>
      <c r="G22" s="202" t="n">
        <v>0.246</v>
      </c>
      <c r="H22" s="203" t="n">
        <v>0.241</v>
      </c>
      <c r="I22" s="204" t="n">
        <v>0.237</v>
      </c>
      <c r="J22" s="205" t="n">
        <v>0.224</v>
      </c>
      <c r="K22" s="186" t="n"/>
      <c r="L22" s="195" t="n"/>
      <c r="M22" s="195" t="n"/>
      <c r="N22" s="195" t="n"/>
      <c r="O22" s="195" t="n"/>
      <c r="P22" s="195" t="n"/>
      <c r="Q22" s="85" t="n"/>
    </row>
    <row r="23">
      <c r="A23" s="150" t="n"/>
      <c r="B23" s="201" t="n">
        <v>2019</v>
      </c>
      <c r="C23" s="202" t="n">
        <v>0.307</v>
      </c>
      <c r="D23" s="203" t="n">
        <v>0.301</v>
      </c>
      <c r="E23" s="204" t="n">
        <v>0.295</v>
      </c>
      <c r="F23" s="205" t="n">
        <v>0.28</v>
      </c>
      <c r="G23" s="202" t="n">
        <v>0.222</v>
      </c>
      <c r="H23" s="203" t="n">
        <v>0.218</v>
      </c>
      <c r="I23" s="204" t="n">
        <v>0.214</v>
      </c>
      <c r="J23" s="205" t="n">
        <v>0.203</v>
      </c>
      <c r="K23" s="186" t="n"/>
      <c r="L23" s="195" t="n"/>
      <c r="M23" s="195" t="n"/>
      <c r="N23" s="195" t="n"/>
      <c r="O23" s="195" t="n"/>
      <c r="P23" s="195" t="n"/>
      <c r="Q23" s="85" t="n"/>
    </row>
    <row r="24">
      <c r="A24" s="150" t="n"/>
      <c r="B24" s="201" t="n">
        <v>2020</v>
      </c>
      <c r="C24" s="202" t="n">
        <v>0.293</v>
      </c>
      <c r="D24" s="203" t="n">
        <v>0.288</v>
      </c>
      <c r="E24" s="204" t="n">
        <v>0.283</v>
      </c>
      <c r="F24" s="205" t="n">
        <v>0.268</v>
      </c>
      <c r="G24" s="202" t="n">
        <v>0.197</v>
      </c>
      <c r="H24" s="203" t="n">
        <v>0.194</v>
      </c>
      <c r="I24" s="204" t="n">
        <v>0.19</v>
      </c>
      <c r="J24" s="205" t="n">
        <v>0.18</v>
      </c>
      <c r="K24" s="186" t="n"/>
      <c r="L24" s="195" t="n"/>
      <c r="M24" s="195" t="n"/>
      <c r="N24" s="195" t="n"/>
      <c r="O24" s="195" t="n"/>
      <c r="P24" s="195" t="n"/>
      <c r="Q24" s="85" t="n"/>
    </row>
    <row r="25">
      <c r="A25" s="150" t="n"/>
      <c r="B25" s="201" t="n">
        <v>2021</v>
      </c>
      <c r="C25" s="202" t="n">
        <v>0.279</v>
      </c>
      <c r="D25" s="203" t="n">
        <v>0.274</v>
      </c>
      <c r="E25" s="204" t="n">
        <v>0.269</v>
      </c>
      <c r="F25" s="205" t="n">
        <v>0.255</v>
      </c>
      <c r="G25" s="202" t="n">
        <v>0.217</v>
      </c>
      <c r="H25" s="203" t="n">
        <v>0.213</v>
      </c>
      <c r="I25" s="204" t="n">
        <v>0.209</v>
      </c>
      <c r="J25" s="205" t="n">
        <v>0.198</v>
      </c>
      <c r="K25" s="186" t="n"/>
      <c r="L25" s="195" t="n"/>
      <c r="M25" s="195" t="n"/>
      <c r="N25" s="195" t="n"/>
      <c r="O25" s="169" t="n"/>
      <c r="P25" s="169" t="n"/>
      <c r="Q25" s="85" t="n"/>
    </row>
    <row r="26">
      <c r="A26" s="150" t="n"/>
      <c r="B26" s="201" t="n">
        <v>2022</v>
      </c>
      <c r="C26" s="202" t="n">
        <v>0.264</v>
      </c>
      <c r="D26" s="203" t="n">
        <v>0.259</v>
      </c>
      <c r="E26" s="204" t="n">
        <v>0.254</v>
      </c>
      <c r="F26" s="205" t="n">
        <v>0.241</v>
      </c>
      <c r="G26" s="202" t="n">
        <v>0.158</v>
      </c>
      <c r="H26" s="203" t="n">
        <v>0.155</v>
      </c>
      <c r="I26" s="204" t="n">
        <v>0.152</v>
      </c>
      <c r="J26" s="205" t="n">
        <v>0.144</v>
      </c>
      <c r="K26" s="186" t="n"/>
      <c r="L26" s="195" t="n"/>
      <c r="M26" s="195" t="n"/>
      <c r="N26" s="195" t="n"/>
      <c r="O26" s="169" t="n"/>
      <c r="P26" s="169" t="n"/>
      <c r="Q26" s="85" t="n"/>
    </row>
    <row r="27">
      <c r="A27" s="150" t="n"/>
      <c r="B27" s="201" t="n">
        <v>2023</v>
      </c>
      <c r="C27" s="202" t="n">
        <v>0.248</v>
      </c>
      <c r="D27" s="203" t="n">
        <v>0.243</v>
      </c>
      <c r="E27" s="204" t="n">
        <v>0.239</v>
      </c>
      <c r="F27" s="205" t="n">
        <v>0.226</v>
      </c>
      <c r="G27" s="202" t="n">
        <v>0.146</v>
      </c>
      <c r="H27" s="203" t="n">
        <v>0.143</v>
      </c>
      <c r="I27" s="204" t="n">
        <v>0.14</v>
      </c>
      <c r="J27" s="205" t="n">
        <v>0.133</v>
      </c>
      <c r="K27" s="186" t="n"/>
      <c r="L27" s="195" t="n"/>
      <c r="M27" s="195" t="n"/>
      <c r="N27" s="195" t="n"/>
      <c r="O27" s="169" t="n"/>
      <c r="P27" s="169" t="n"/>
      <c r="Q27" s="85" t="n"/>
    </row>
    <row r="28">
      <c r="A28" s="150" t="n"/>
      <c r="B28" s="201" t="n">
        <v>2024</v>
      </c>
      <c r="C28" s="202" t="n">
        <v>0.23</v>
      </c>
      <c r="D28" s="203" t="n">
        <v>0.226</v>
      </c>
      <c r="E28" s="204" t="n">
        <v>0.222</v>
      </c>
      <c r="F28" s="205" t="n">
        <v>0.21</v>
      </c>
      <c r="G28" s="202" t="n">
        <v>0.151</v>
      </c>
      <c r="H28" s="203" t="n">
        <v>0.149</v>
      </c>
      <c r="I28" s="204" t="n">
        <v>0.146</v>
      </c>
      <c r="J28" s="205" t="n">
        <v>0.138</v>
      </c>
      <c r="K28" s="186" t="n"/>
      <c r="L28" s="195" t="n"/>
      <c r="M28" s="195" t="n"/>
      <c r="N28" s="195" t="n"/>
      <c r="O28" s="169" t="n"/>
      <c r="P28" s="169" t="n"/>
      <c r="Q28" s="85" t="n"/>
    </row>
    <row r="29">
      <c r="A29" s="150" t="n"/>
      <c r="B29" s="201" t="n">
        <v>2025</v>
      </c>
      <c r="C29" s="202" t="n">
        <v>0.211</v>
      </c>
      <c r="D29" s="203" t="n">
        <v>0.207</v>
      </c>
      <c r="E29" s="204" t="n">
        <v>0.203</v>
      </c>
      <c r="F29" s="205" t="n">
        <v>0.193</v>
      </c>
      <c r="G29" s="202" t="n">
        <v>0.131</v>
      </c>
      <c r="H29" s="203" t="n">
        <v>0.129</v>
      </c>
      <c r="I29" s="204" t="n">
        <v>0.127</v>
      </c>
      <c r="J29" s="205" t="n">
        <v>0.12</v>
      </c>
      <c r="K29" s="186" t="n"/>
      <c r="L29" s="195" t="n"/>
      <c r="M29" s="195" t="n"/>
      <c r="N29" s="195" t="n"/>
      <c r="O29" s="169" t="n"/>
      <c r="P29" s="169" t="n"/>
      <c r="Q29" s="85" t="n"/>
    </row>
    <row r="30">
      <c r="A30" s="150" t="n"/>
      <c r="B30" s="201" t="n">
        <v>2026</v>
      </c>
      <c r="C30" s="202" t="n">
        <v>0.191</v>
      </c>
      <c r="D30" s="203" t="n">
        <v>0.187</v>
      </c>
      <c r="E30" s="204" t="n">
        <v>0.184</v>
      </c>
      <c r="F30" s="205" t="n">
        <v>0.174</v>
      </c>
      <c r="G30" s="202" t="n">
        <v>0.098</v>
      </c>
      <c r="H30" s="203" t="n">
        <v>0.096</v>
      </c>
      <c r="I30" s="204" t="n">
        <v>0.095</v>
      </c>
      <c r="J30" s="205" t="n">
        <v>0.09</v>
      </c>
      <c r="K30" s="186" t="n"/>
      <c r="L30" s="195" t="n"/>
      <c r="M30" s="195" t="n"/>
      <c r="N30" s="195" t="n"/>
      <c r="O30" s="169" t="n"/>
      <c r="P30" s="169" t="n"/>
      <c r="Q30" s="85" t="n"/>
    </row>
    <row r="31">
      <c r="A31" s="150" t="n"/>
      <c r="B31" s="201" t="n">
        <v>2027</v>
      </c>
      <c r="C31" s="202" t="n">
        <v>0.169</v>
      </c>
      <c r="D31" s="203" t="n">
        <v>0.166</v>
      </c>
      <c r="E31" s="204" t="n">
        <v>0.163</v>
      </c>
      <c r="F31" s="205" t="n">
        <v>0.154</v>
      </c>
      <c r="G31" s="202" t="n">
        <v>0.073</v>
      </c>
      <c r="H31" s="203" t="n">
        <v>0.07199999999999999</v>
      </c>
      <c r="I31" s="204" t="n">
        <v>0.07000000000000001</v>
      </c>
      <c r="J31" s="205" t="n">
        <v>0.067</v>
      </c>
      <c r="K31" s="186" t="n"/>
      <c r="L31" s="195" t="n"/>
      <c r="M31" s="195" t="n"/>
      <c r="N31" s="195" t="n"/>
      <c r="O31" s="169" t="n"/>
      <c r="P31" s="169" t="n"/>
      <c r="Q31" s="85" t="n"/>
    </row>
    <row r="32">
      <c r="A32" s="150" t="n"/>
      <c r="B32" s="201" t="n">
        <v>2028</v>
      </c>
      <c r="C32" s="202" t="n">
        <v>0.145</v>
      </c>
      <c r="D32" s="203" t="n">
        <v>0.143</v>
      </c>
      <c r="E32" s="204" t="n">
        <v>0.14</v>
      </c>
      <c r="F32" s="205" t="n">
        <v>0.133</v>
      </c>
      <c r="G32" s="202" t="n">
        <v>0.063</v>
      </c>
      <c r="H32" s="203" t="n">
        <v>0.062</v>
      </c>
      <c r="I32" s="204" t="n">
        <v>0.061</v>
      </c>
      <c r="J32" s="206" t="n">
        <v>0.058</v>
      </c>
      <c r="K32" s="186" t="n"/>
      <c r="L32" s="195" t="n"/>
      <c r="M32" s="195" t="n"/>
      <c r="N32" s="195" t="n"/>
      <c r="O32" s="169" t="n"/>
      <c r="P32" s="169" t="n"/>
      <c r="Q32" s="85" t="n"/>
    </row>
    <row r="33">
      <c r="A33" s="150" t="n"/>
      <c r="B33" s="201" t="n">
        <v>2029</v>
      </c>
      <c r="C33" s="202" t="n">
        <v>0.12</v>
      </c>
      <c r="D33" s="203" t="n">
        <v>0.118</v>
      </c>
      <c r="E33" s="204" t="n">
        <v>0.116</v>
      </c>
      <c r="F33" s="205" t="n">
        <v>0.11</v>
      </c>
      <c r="G33" s="202" t="n">
        <v>0.054</v>
      </c>
      <c r="H33" s="203" t="n">
        <v>0.053</v>
      </c>
      <c r="I33" s="204" t="n">
        <v>0.052</v>
      </c>
      <c r="J33" s="205" t="n">
        <v>0.049</v>
      </c>
      <c r="K33" s="186" t="n"/>
      <c r="L33" s="195" t="n"/>
      <c r="M33" s="195" t="n"/>
      <c r="N33" s="195" t="n"/>
      <c r="O33" s="169" t="n"/>
      <c r="P33" s="169" t="n"/>
      <c r="Q33" s="85" t="n"/>
    </row>
    <row r="34">
      <c r="A34" s="150" t="n"/>
      <c r="B34" s="201" t="n">
        <v>2030</v>
      </c>
      <c r="C34" s="202" t="n">
        <v>0.093</v>
      </c>
      <c r="D34" s="203" t="n">
        <v>0.091</v>
      </c>
      <c r="E34" s="204" t="n">
        <v>0.09</v>
      </c>
      <c r="F34" s="205" t="n">
        <v>0.08500000000000001</v>
      </c>
      <c r="G34" s="202" t="n">
        <v>0.049</v>
      </c>
      <c r="H34" s="203" t="n">
        <v>0.049</v>
      </c>
      <c r="I34" s="204" t="n">
        <v>0.048</v>
      </c>
      <c r="J34" s="205" t="n">
        <v>0.045</v>
      </c>
      <c r="K34" s="186" t="n"/>
      <c r="L34" s="195" t="n"/>
      <c r="M34" s="195" t="n"/>
      <c r="N34" s="195" t="n"/>
      <c r="O34" s="169" t="n"/>
      <c r="P34" s="169" t="n"/>
      <c r="Q34" s="85" t="n"/>
    </row>
    <row r="35">
      <c r="A35" s="150" t="n"/>
      <c r="B35" s="201" t="n">
        <v>2031</v>
      </c>
      <c r="C35" s="202" t="n">
        <v>0.07099999999999999</v>
      </c>
      <c r="D35" s="203" t="n">
        <v>0.07000000000000001</v>
      </c>
      <c r="E35" s="204" t="n">
        <v>0.06900000000000001</v>
      </c>
      <c r="F35" s="205" t="n">
        <v>0.065</v>
      </c>
      <c r="G35" s="202" t="n">
        <v>0.042</v>
      </c>
      <c r="H35" s="203" t="n">
        <v>0.041</v>
      </c>
      <c r="I35" s="204" t="n">
        <v>0.04</v>
      </c>
      <c r="J35" s="205" t="n">
        <v>0.038</v>
      </c>
      <c r="K35" s="186" t="n"/>
      <c r="L35" s="195" t="n"/>
      <c r="M35" s="195" t="n"/>
      <c r="N35" s="195" t="n"/>
      <c r="O35" s="169" t="n"/>
      <c r="P35" s="169" t="n"/>
      <c r="Q35" s="85" t="n"/>
    </row>
    <row r="36">
      <c r="A36" s="150" t="n"/>
      <c r="B36" s="201" t="n">
        <v>2032</v>
      </c>
      <c r="C36" s="202" t="n">
        <v>0.055</v>
      </c>
      <c r="D36" s="203" t="n">
        <v>0.054</v>
      </c>
      <c r="E36" s="204" t="n">
        <v>0.053</v>
      </c>
      <c r="F36" s="205" t="n">
        <v>0.05</v>
      </c>
      <c r="G36" s="202" t="n">
        <v>0.033</v>
      </c>
      <c r="H36" s="203" t="n">
        <v>0.032</v>
      </c>
      <c r="I36" s="204" t="n">
        <v>0.032</v>
      </c>
      <c r="J36" s="205" t="n">
        <v>0.03</v>
      </c>
      <c r="K36" s="186" t="n"/>
      <c r="L36" s="195" t="n"/>
      <c r="M36" s="195" t="n"/>
      <c r="N36" s="195" t="n"/>
      <c r="O36" s="169" t="n"/>
      <c r="P36" s="169" t="n"/>
      <c r="Q36" s="85" t="n"/>
    </row>
    <row r="37">
      <c r="A37" s="150" t="n"/>
      <c r="B37" s="201" t="n">
        <v>2033</v>
      </c>
      <c r="C37" s="202" t="n">
        <v>0.042</v>
      </c>
      <c r="D37" s="203" t="n">
        <v>0.041</v>
      </c>
      <c r="E37" s="204" t="n">
        <v>0.041</v>
      </c>
      <c r="F37" s="205" t="n">
        <v>0.038</v>
      </c>
      <c r="G37" s="202" t="n">
        <v>0.026</v>
      </c>
      <c r="H37" s="203" t="n">
        <v>0.025</v>
      </c>
      <c r="I37" s="204" t="n">
        <v>0.025</v>
      </c>
      <c r="J37" s="205" t="n">
        <v>0.024</v>
      </c>
      <c r="K37" s="186" t="n"/>
      <c r="L37" s="195" t="n"/>
      <c r="M37" s="195" t="n"/>
      <c r="N37" s="195" t="n"/>
      <c r="O37" s="169" t="n"/>
      <c r="P37" s="169" t="n"/>
      <c r="Q37" s="85" t="n"/>
    </row>
    <row r="38">
      <c r="A38" s="150" t="n"/>
      <c r="B38" s="201" t="n">
        <v>2034</v>
      </c>
      <c r="C38" s="202" t="n">
        <v>0.032</v>
      </c>
      <c r="D38" s="203" t="n">
        <v>0.032</v>
      </c>
      <c r="E38" s="204" t="n">
        <v>0.031</v>
      </c>
      <c r="F38" s="205" t="n">
        <v>0.029</v>
      </c>
      <c r="G38" s="202" t="n">
        <v>0.021</v>
      </c>
      <c r="H38" s="203" t="n">
        <v>0.02</v>
      </c>
      <c r="I38" s="204" t="n">
        <v>0.02</v>
      </c>
      <c r="J38" s="205" t="n">
        <v>0.019</v>
      </c>
      <c r="K38" s="186" t="n"/>
      <c r="L38" s="195" t="n"/>
      <c r="M38" s="195" t="n"/>
      <c r="N38" s="195" t="n"/>
      <c r="O38" s="169" t="n"/>
      <c r="P38" s="169" t="n"/>
      <c r="Q38" s="85" t="n"/>
    </row>
    <row r="39">
      <c r="A39" s="150" t="n"/>
      <c r="B39" s="201" t="n">
        <v>2035</v>
      </c>
      <c r="C39" s="202" t="n">
        <v>0.025</v>
      </c>
      <c r="D39" s="203" t="n">
        <v>0.024</v>
      </c>
      <c r="E39" s="204" t="n">
        <v>0.024</v>
      </c>
      <c r="F39" s="205" t="n">
        <v>0.023</v>
      </c>
      <c r="G39" s="202" t="n">
        <v>0.02</v>
      </c>
      <c r="H39" s="203" t="n">
        <v>0.02</v>
      </c>
      <c r="I39" s="204" t="n">
        <v>0.019</v>
      </c>
      <c r="J39" s="205" t="n">
        <v>0.018</v>
      </c>
      <c r="K39" s="186" t="n"/>
      <c r="L39" s="195" t="n"/>
      <c r="M39" s="195" t="n"/>
      <c r="N39" s="195" t="n"/>
      <c r="O39" s="169" t="n"/>
      <c r="P39" s="169" t="n"/>
      <c r="Q39" s="85" t="n"/>
    </row>
    <row r="40">
      <c r="A40" s="150" t="n"/>
      <c r="B40" s="201" t="n">
        <v>2036</v>
      </c>
      <c r="C40" s="202" t="n">
        <v>0.019</v>
      </c>
      <c r="D40" s="203" t="n">
        <v>0.019</v>
      </c>
      <c r="E40" s="204" t="n">
        <v>0.018</v>
      </c>
      <c r="F40" s="205" t="n">
        <v>0.017</v>
      </c>
      <c r="G40" s="202" t="n">
        <v>0.02</v>
      </c>
      <c r="H40" s="203" t="n">
        <v>0.019</v>
      </c>
      <c r="I40" s="204" t="n">
        <v>0.019</v>
      </c>
      <c r="J40" s="205" t="n">
        <v>0.018</v>
      </c>
      <c r="K40" s="186" t="n"/>
      <c r="L40" s="195" t="n"/>
      <c r="M40" s="195" t="n"/>
      <c r="N40" s="195" t="n"/>
      <c r="O40" s="169" t="n"/>
      <c r="P40" s="169" t="n"/>
      <c r="Q40" s="85" t="n"/>
    </row>
    <row r="41">
      <c r="A41" s="150" t="n"/>
      <c r="B41" s="201" t="n">
        <v>2037</v>
      </c>
      <c r="C41" s="202" t="n">
        <v>0.015</v>
      </c>
      <c r="D41" s="203" t="n">
        <v>0.014</v>
      </c>
      <c r="E41" s="204" t="n">
        <v>0.014</v>
      </c>
      <c r="F41" s="205" t="n">
        <v>0.013</v>
      </c>
      <c r="G41" s="202" t="n">
        <v>0.018</v>
      </c>
      <c r="H41" s="203" t="n">
        <v>0.018</v>
      </c>
      <c r="I41" s="204" t="n">
        <v>0.018</v>
      </c>
      <c r="J41" s="205" t="n">
        <v>0.017</v>
      </c>
      <c r="K41" s="186" t="n"/>
      <c r="L41" s="195" t="n"/>
      <c r="M41" s="195" t="n"/>
      <c r="N41" s="195" t="n"/>
      <c r="O41" s="169" t="n"/>
      <c r="P41" s="169" t="n"/>
      <c r="Q41" s="85" t="n"/>
    </row>
    <row r="42">
      <c r="A42" s="150" t="n"/>
      <c r="B42" s="201" t="n">
        <v>2038</v>
      </c>
      <c r="C42" s="202" t="n">
        <v>0.011</v>
      </c>
      <c r="D42" s="203" t="n">
        <v>0.011</v>
      </c>
      <c r="E42" s="204" t="n">
        <v>0.011</v>
      </c>
      <c r="F42" s="205" t="n">
        <v>0.01</v>
      </c>
      <c r="G42" s="202" t="n">
        <v>0.018</v>
      </c>
      <c r="H42" s="203" t="n">
        <v>0.018</v>
      </c>
      <c r="I42" s="204" t="n">
        <v>0.017</v>
      </c>
      <c r="J42" s="205" t="n">
        <v>0.016</v>
      </c>
      <c r="K42" s="186" t="n"/>
      <c r="L42" s="195" t="n"/>
      <c r="M42" s="195" t="n"/>
      <c r="N42" s="195" t="n"/>
      <c r="O42" s="169" t="n"/>
      <c r="P42" s="169" t="n"/>
      <c r="Q42" s="85" t="n"/>
    </row>
    <row r="43">
      <c r="A43" s="150" t="n"/>
      <c r="B43" s="201" t="n">
        <v>2039</v>
      </c>
      <c r="C43" s="202" t="n">
        <v>0.008999999999999999</v>
      </c>
      <c r="D43" s="203" t="n">
        <v>0.008</v>
      </c>
      <c r="E43" s="204" t="n">
        <v>0.008</v>
      </c>
      <c r="F43" s="205" t="n">
        <v>0.008</v>
      </c>
      <c r="G43" s="202" t="n">
        <v>0.017</v>
      </c>
      <c r="H43" s="203" t="n">
        <v>0.017</v>
      </c>
      <c r="I43" s="204" t="n">
        <v>0.016</v>
      </c>
      <c r="J43" s="205" t="n">
        <v>0.015</v>
      </c>
      <c r="K43" s="186" t="n"/>
      <c r="L43" s="195" t="n"/>
      <c r="M43" s="195" t="n"/>
      <c r="N43" s="195" t="n"/>
      <c r="O43" s="169" t="n"/>
      <c r="P43" s="169" t="n"/>
      <c r="Q43" s="85" t="n"/>
    </row>
    <row r="44">
      <c r="A44" s="150" t="n"/>
      <c r="B44" s="201" t="n">
        <v>2040</v>
      </c>
      <c r="C44" s="202" t="n">
        <v>0.007</v>
      </c>
      <c r="D44" s="203" t="n">
        <v>0.006</v>
      </c>
      <c r="E44" s="204" t="n">
        <v>0.006</v>
      </c>
      <c r="F44" s="205" t="n">
        <v>0.006</v>
      </c>
      <c r="G44" s="202" t="n">
        <v>0.016</v>
      </c>
      <c r="H44" s="203" t="n">
        <v>0.016</v>
      </c>
      <c r="I44" s="204" t="n">
        <v>0.015</v>
      </c>
      <c r="J44" s="205" t="n">
        <v>0.015</v>
      </c>
      <c r="K44" s="186" t="n"/>
      <c r="L44" s="195" t="n"/>
      <c r="M44" s="195" t="n"/>
      <c r="N44" s="195" t="n"/>
      <c r="O44" s="169" t="n"/>
      <c r="P44" s="169" t="n"/>
      <c r="Q44" s="85" t="n"/>
    </row>
    <row r="45">
      <c r="A45" s="150" t="n"/>
      <c r="B45" s="201" t="n">
        <v>2041</v>
      </c>
      <c r="C45" s="202" t="n">
        <v>0.006</v>
      </c>
      <c r="D45" s="203" t="n">
        <v>0.006</v>
      </c>
      <c r="E45" s="204" t="n">
        <v>0.006</v>
      </c>
      <c r="F45" s="205" t="n">
        <v>0.006</v>
      </c>
      <c r="G45" s="202" t="n">
        <v>0.015</v>
      </c>
      <c r="H45" s="203" t="n">
        <v>0.015</v>
      </c>
      <c r="I45" s="204" t="n">
        <v>0.015</v>
      </c>
      <c r="J45" s="205" t="n">
        <v>0.014</v>
      </c>
      <c r="K45" s="186" t="n"/>
      <c r="L45" s="195" t="n"/>
      <c r="M45" s="195" t="n"/>
      <c r="N45" s="195" t="n"/>
      <c r="O45" s="169" t="n"/>
      <c r="P45" s="169" t="n"/>
      <c r="Q45" s="85" t="n"/>
    </row>
    <row r="46">
      <c r="A46" s="150" t="n"/>
      <c r="B46" s="201" t="n">
        <v>2042</v>
      </c>
      <c r="C46" s="202" t="n">
        <v>0.004</v>
      </c>
      <c r="D46" s="203" t="n">
        <v>0.004</v>
      </c>
      <c r="E46" s="204" t="n">
        <v>0.004</v>
      </c>
      <c r="F46" s="205" t="n">
        <v>0.004</v>
      </c>
      <c r="G46" s="202" t="n">
        <v>0.015</v>
      </c>
      <c r="H46" s="203" t="n">
        <v>0.014</v>
      </c>
      <c r="I46" s="204" t="n">
        <v>0.014</v>
      </c>
      <c r="J46" s="206" t="n">
        <v>0.013</v>
      </c>
      <c r="K46" s="186" t="n"/>
      <c r="L46" s="195" t="n"/>
      <c r="M46" s="195" t="n"/>
      <c r="N46" s="195" t="n"/>
      <c r="O46" s="169" t="n"/>
      <c r="P46" s="169" t="n"/>
      <c r="Q46" s="85" t="n"/>
    </row>
    <row r="47">
      <c r="A47" s="150" t="n"/>
      <c r="B47" s="201" t="n">
        <v>2043</v>
      </c>
      <c r="C47" s="202" t="n">
        <v>0.003</v>
      </c>
      <c r="D47" s="203" t="n">
        <v>0.003</v>
      </c>
      <c r="E47" s="204" t="n">
        <v>0.003</v>
      </c>
      <c r="F47" s="205" t="n">
        <v>0.003</v>
      </c>
      <c r="G47" s="202" t="n">
        <v>0.008999999999999999</v>
      </c>
      <c r="H47" s="203" t="n">
        <v>0.008999999999999999</v>
      </c>
      <c r="I47" s="204" t="n">
        <v>0.008999999999999999</v>
      </c>
      <c r="J47" s="205" t="n">
        <v>0.008</v>
      </c>
      <c r="K47" s="186" t="n"/>
      <c r="L47" s="195" t="n"/>
      <c r="M47" s="195" t="n"/>
      <c r="N47" s="195" t="n"/>
      <c r="O47" s="169" t="n"/>
      <c r="P47" s="169" t="n"/>
      <c r="Q47" s="85" t="n"/>
    </row>
    <row r="48">
      <c r="A48" s="150" t="n"/>
      <c r="B48" s="201" t="n">
        <v>2044</v>
      </c>
      <c r="C48" s="202" t="n">
        <v>0.002</v>
      </c>
      <c r="D48" s="203" t="n">
        <v>0.002</v>
      </c>
      <c r="E48" s="204" t="n">
        <v>0.002</v>
      </c>
      <c r="F48" s="205" t="n">
        <v>0.002</v>
      </c>
      <c r="G48" s="202" t="n">
        <v>0.008</v>
      </c>
      <c r="H48" s="203" t="n">
        <v>0.008</v>
      </c>
      <c r="I48" s="204" t="n">
        <v>0.008</v>
      </c>
      <c r="J48" s="205" t="n">
        <v>0.008</v>
      </c>
      <c r="K48" s="186" t="n"/>
      <c r="L48" s="195" t="n"/>
      <c r="M48" s="195" t="n"/>
      <c r="N48" s="195" t="n"/>
      <c r="O48" s="169" t="n"/>
      <c r="P48" s="169" t="n"/>
      <c r="Q48" s="85" t="n"/>
    </row>
    <row r="49">
      <c r="A49" s="150" t="n"/>
      <c r="B49" s="201" t="n">
        <v>2045</v>
      </c>
      <c r="C49" s="202" t="n">
        <v>0.001</v>
      </c>
      <c r="D49" s="203" t="n">
        <v>0.001</v>
      </c>
      <c r="E49" s="204" t="n">
        <v>0.001</v>
      </c>
      <c r="F49" s="205" t="n">
        <v>0.001</v>
      </c>
      <c r="G49" s="202" t="n">
        <v>0.008</v>
      </c>
      <c r="H49" s="203" t="n">
        <v>0.008</v>
      </c>
      <c r="I49" s="204" t="n">
        <v>0.008</v>
      </c>
      <c r="J49" s="205" t="n">
        <v>0.007</v>
      </c>
      <c r="K49" s="186" t="n"/>
      <c r="L49" s="195" t="n"/>
      <c r="M49" s="195" t="n"/>
      <c r="N49" s="195" t="n"/>
      <c r="O49" s="169" t="n"/>
      <c r="P49" s="169" t="n"/>
      <c r="Q49" s="85" t="n"/>
    </row>
    <row r="50">
      <c r="A50" s="150" t="n"/>
      <c r="B50" s="201" t="n">
        <v>2046</v>
      </c>
      <c r="C50" s="202" t="n">
        <v>0.001</v>
      </c>
      <c r="D50" s="203" t="n">
        <v>0.001</v>
      </c>
      <c r="E50" s="204" t="n">
        <v>0.001</v>
      </c>
      <c r="F50" s="205" t="n">
        <v>0.001</v>
      </c>
      <c r="G50" s="202" t="n">
        <v>0.008</v>
      </c>
      <c r="H50" s="203" t="n">
        <v>0.008</v>
      </c>
      <c r="I50" s="204" t="n">
        <v>0.007</v>
      </c>
      <c r="J50" s="205" t="n">
        <v>0.007</v>
      </c>
      <c r="K50" s="186" t="n"/>
      <c r="L50" s="195" t="n"/>
      <c r="M50" s="195" t="n"/>
      <c r="N50" s="195" t="n"/>
      <c r="O50" s="169" t="n"/>
      <c r="P50" s="169" t="n"/>
      <c r="Q50" s="85" t="n"/>
    </row>
    <row r="51">
      <c r="A51" s="150" t="n"/>
      <c r="B51" s="201" t="n">
        <v>2047</v>
      </c>
      <c r="C51" s="202" t="n">
        <v>0.001</v>
      </c>
      <c r="D51" s="203" t="n">
        <v>0.001</v>
      </c>
      <c r="E51" s="204" t="n">
        <v>0.001</v>
      </c>
      <c r="F51" s="205" t="n">
        <v>0.001</v>
      </c>
      <c r="G51" s="202" t="n">
        <v>0.005</v>
      </c>
      <c r="H51" s="203" t="n">
        <v>0.005</v>
      </c>
      <c r="I51" s="204" t="n">
        <v>0.005</v>
      </c>
      <c r="J51" s="205" t="n">
        <v>0.005</v>
      </c>
      <c r="K51" s="186" t="n"/>
      <c r="L51" s="195" t="n"/>
      <c r="M51" s="195" t="n"/>
      <c r="N51" s="195" t="n"/>
      <c r="O51" s="169" t="n"/>
      <c r="P51" s="169" t="n"/>
      <c r="Q51" s="85" t="n"/>
    </row>
    <row r="52">
      <c r="A52" s="150" t="n"/>
      <c r="B52" s="201" t="n">
        <v>2048</v>
      </c>
      <c r="C52" s="202" t="n">
        <v>0.002</v>
      </c>
      <c r="D52" s="203" t="n">
        <v>0.001</v>
      </c>
      <c r="E52" s="204" t="n">
        <v>0.001</v>
      </c>
      <c r="F52" s="205" t="n">
        <v>0.001</v>
      </c>
      <c r="G52" s="202" t="n">
        <v>0.005</v>
      </c>
      <c r="H52" s="203" t="n">
        <v>0.005</v>
      </c>
      <c r="I52" s="204" t="n">
        <v>0.005</v>
      </c>
      <c r="J52" s="205" t="n">
        <v>0.005</v>
      </c>
      <c r="K52" s="186" t="n"/>
      <c r="L52" s="195" t="n"/>
      <c r="M52" s="195" t="n"/>
      <c r="N52" s="195" t="n"/>
      <c r="O52" s="169" t="n"/>
      <c r="P52" s="169" t="n"/>
      <c r="Q52" s="85" t="n"/>
    </row>
    <row r="53">
      <c r="A53" s="150" t="n"/>
      <c r="B53" s="201" t="n">
        <v>2049</v>
      </c>
      <c r="C53" s="202" t="n">
        <v>0.002</v>
      </c>
      <c r="D53" s="203" t="n">
        <v>0.002</v>
      </c>
      <c r="E53" s="204" t="n">
        <v>0.001</v>
      </c>
      <c r="F53" s="205" t="n">
        <v>0.001</v>
      </c>
      <c r="G53" s="202" t="n">
        <v>0.003</v>
      </c>
      <c r="H53" s="203" t="n">
        <v>0.003</v>
      </c>
      <c r="I53" s="204" t="n">
        <v>0.003</v>
      </c>
      <c r="J53" s="205" t="n">
        <v>0.003</v>
      </c>
      <c r="K53" s="186" t="n"/>
      <c r="L53" s="195" t="n"/>
      <c r="M53" s="195" t="n"/>
      <c r="N53" s="195" t="n"/>
      <c r="O53" s="169" t="n"/>
      <c r="P53" s="169" t="n"/>
      <c r="Q53" s="85" t="n"/>
    </row>
    <row r="54">
      <c r="A54" s="150" t="n"/>
      <c r="B54" s="201" t="n">
        <v>2050</v>
      </c>
      <c r="C54" s="202" t="n">
        <v>0.001</v>
      </c>
      <c r="D54" s="203" t="n">
        <v>0.001</v>
      </c>
      <c r="E54" s="204" t="n">
        <v>0.001</v>
      </c>
      <c r="F54" s="205" t="n">
        <v>0.001</v>
      </c>
      <c r="G54" s="202" t="n">
        <v>0.003</v>
      </c>
      <c r="H54" s="203" t="n">
        <v>0.002</v>
      </c>
      <c r="I54" s="204" t="n">
        <v>0.002</v>
      </c>
      <c r="J54" s="205" t="n">
        <v>0.002</v>
      </c>
      <c r="K54" s="186" t="n"/>
      <c r="L54" s="195" t="n"/>
      <c r="M54" s="195" t="n"/>
      <c r="N54" s="195" t="n"/>
      <c r="O54" s="169" t="n"/>
      <c r="P54" s="169" t="n"/>
      <c r="Q54" s="85" t="n"/>
    </row>
    <row r="55">
      <c r="A55" s="150" t="n"/>
      <c r="B55" s="201" t="n">
        <v>2051</v>
      </c>
      <c r="C55" s="202" t="n">
        <v>0.003</v>
      </c>
      <c r="D55" s="203" t="n">
        <v>0.002</v>
      </c>
      <c r="E55" s="204" t="n">
        <v>0.002</v>
      </c>
      <c r="F55" s="205" t="n">
        <v>0.002</v>
      </c>
      <c r="G55" s="202" t="n">
        <v>0.003</v>
      </c>
      <c r="H55" s="203" t="n">
        <v>0.002</v>
      </c>
      <c r="I55" s="204" t="n">
        <v>0.002</v>
      </c>
      <c r="J55" s="205" t="n">
        <v>0.002</v>
      </c>
      <c r="K55" s="186" t="n"/>
      <c r="L55" s="195" t="n"/>
      <c r="M55" s="195" t="n"/>
      <c r="N55" s="195" t="n"/>
      <c r="O55" s="169" t="n"/>
      <c r="P55" s="169" t="n"/>
      <c r="Q55" s="85" t="n"/>
    </row>
    <row r="56">
      <c r="A56" s="150" t="n"/>
      <c r="B56" s="201" t="n">
        <v>2052</v>
      </c>
      <c r="C56" s="202" t="n">
        <v>0.003</v>
      </c>
      <c r="D56" s="203" t="n">
        <v>0.002</v>
      </c>
      <c r="E56" s="204" t="n">
        <v>0.002</v>
      </c>
      <c r="F56" s="205" t="n">
        <v>0.002</v>
      </c>
      <c r="G56" s="202" t="n">
        <v>0.003</v>
      </c>
      <c r="H56" s="203" t="n">
        <v>0.002</v>
      </c>
      <c r="I56" s="204" t="n">
        <v>0.002</v>
      </c>
      <c r="J56" s="205" t="n">
        <v>0.002</v>
      </c>
      <c r="K56" s="181" t="n"/>
      <c r="L56" s="195" t="n"/>
      <c r="M56" s="195" t="n"/>
      <c r="N56" s="195" t="n"/>
      <c r="O56" s="169" t="n"/>
      <c r="P56" s="169" t="n"/>
      <c r="Q56" s="85" t="n"/>
    </row>
    <row r="57">
      <c r="A57" s="150" t="n"/>
      <c r="B57" s="201" t="n">
        <v>2053</v>
      </c>
      <c r="C57" s="202" t="n">
        <v>0.003</v>
      </c>
      <c r="D57" s="203" t="n">
        <v>0.002</v>
      </c>
      <c r="E57" s="204" t="n">
        <v>0.002</v>
      </c>
      <c r="F57" s="205" t="n">
        <v>0.002</v>
      </c>
      <c r="G57" s="202" t="n">
        <v>0.003</v>
      </c>
      <c r="H57" s="203" t="n">
        <v>0.002</v>
      </c>
      <c r="I57" s="204" t="n">
        <v>0.002</v>
      </c>
      <c r="J57" s="205" t="n">
        <v>0.002</v>
      </c>
      <c r="K57" s="181" t="n"/>
      <c r="L57" s="169" t="n"/>
      <c r="M57" s="169" t="n"/>
      <c r="N57" s="195" t="n"/>
      <c r="O57" s="169" t="n"/>
      <c r="P57" s="169" t="n"/>
      <c r="Q57" s="85" t="n"/>
    </row>
    <row r="58">
      <c r="A58" s="150" t="n"/>
      <c r="B58" s="201" t="n">
        <v>2054</v>
      </c>
      <c r="C58" s="202" t="n">
        <v>0.003</v>
      </c>
      <c r="D58" s="203" t="n">
        <v>0.002</v>
      </c>
      <c r="E58" s="204" t="n">
        <v>0.002</v>
      </c>
      <c r="F58" s="205" t="n">
        <v>0.002</v>
      </c>
      <c r="G58" s="202" t="n">
        <v>0.003</v>
      </c>
      <c r="H58" s="203" t="n">
        <v>0.002</v>
      </c>
      <c r="I58" s="204" t="n">
        <v>0.002</v>
      </c>
      <c r="J58" s="205" t="n">
        <v>0.002</v>
      </c>
      <c r="K58" s="181" t="n"/>
      <c r="L58" s="169" t="n"/>
      <c r="M58" s="169" t="n"/>
      <c r="N58" s="195" t="n"/>
      <c r="O58" s="169" t="n"/>
      <c r="P58" s="169" t="n"/>
      <c r="Q58" s="85" t="n"/>
    </row>
    <row r="59">
      <c r="A59" s="150" t="n"/>
      <c r="B59" s="201" t="n">
        <v>2055</v>
      </c>
      <c r="C59" s="202" t="n">
        <v>0.003</v>
      </c>
      <c r="D59" s="203" t="n">
        <v>0.002</v>
      </c>
      <c r="E59" s="204" t="n">
        <v>0.002</v>
      </c>
      <c r="F59" s="205" t="n">
        <v>0.002</v>
      </c>
      <c r="G59" s="202" t="n">
        <v>0.003</v>
      </c>
      <c r="H59" s="203" t="n">
        <v>0.002</v>
      </c>
      <c r="I59" s="204" t="n">
        <v>0.002</v>
      </c>
      <c r="J59" s="205" t="n">
        <v>0.002</v>
      </c>
      <c r="K59" s="181" t="n"/>
      <c r="L59" s="169" t="n"/>
      <c r="M59" s="169" t="n"/>
      <c r="N59" s="195" t="n"/>
      <c r="O59" s="169" t="n"/>
      <c r="P59" s="169" t="n"/>
      <c r="Q59" s="85" t="n"/>
    </row>
    <row r="60">
      <c r="A60" s="150" t="n"/>
      <c r="B60" s="201" t="n">
        <v>2056</v>
      </c>
      <c r="C60" s="202" t="n">
        <v>0.003</v>
      </c>
      <c r="D60" s="203" t="n">
        <v>0.002</v>
      </c>
      <c r="E60" s="204" t="n">
        <v>0.002</v>
      </c>
      <c r="F60" s="205" t="n">
        <v>0.002</v>
      </c>
      <c r="G60" s="202" t="n">
        <v>0.003</v>
      </c>
      <c r="H60" s="203" t="n">
        <v>0.002</v>
      </c>
      <c r="I60" s="204" t="n">
        <v>0.002</v>
      </c>
      <c r="J60" s="206" t="n">
        <v>0.002</v>
      </c>
      <c r="K60" s="181" t="n"/>
      <c r="L60" s="169" t="n"/>
      <c r="M60" s="169" t="n"/>
      <c r="N60" s="195" t="n"/>
      <c r="O60" s="169" t="n"/>
      <c r="P60" s="169" t="n"/>
      <c r="Q60" s="85" t="n"/>
    </row>
    <row r="61">
      <c r="A61" s="150" t="n"/>
      <c r="B61" s="201" t="n">
        <v>2057</v>
      </c>
      <c r="C61" s="202" t="n">
        <v>0.003</v>
      </c>
      <c r="D61" s="203" t="n">
        <v>0.002</v>
      </c>
      <c r="E61" s="204" t="n">
        <v>0.002</v>
      </c>
      <c r="F61" s="205" t="n">
        <v>0.002</v>
      </c>
      <c r="G61" s="202" t="n">
        <v>0.003</v>
      </c>
      <c r="H61" s="203" t="n">
        <v>0.002</v>
      </c>
      <c r="I61" s="204" t="n">
        <v>0.002</v>
      </c>
      <c r="J61" s="205" t="n">
        <v>0.002</v>
      </c>
      <c r="K61" s="181" t="n"/>
      <c r="L61" s="169" t="n"/>
      <c r="M61" s="169" t="n"/>
      <c r="N61" s="195" t="n"/>
      <c r="O61" s="169" t="n"/>
      <c r="P61" s="169" t="n"/>
      <c r="Q61" s="85" t="n"/>
    </row>
    <row r="62">
      <c r="A62" s="150" t="n"/>
      <c r="B62" s="201" t="n">
        <v>2058</v>
      </c>
      <c r="C62" s="202" t="n">
        <v>0.003</v>
      </c>
      <c r="D62" s="203" t="n">
        <v>0.002</v>
      </c>
      <c r="E62" s="204" t="n">
        <v>0.002</v>
      </c>
      <c r="F62" s="205" t="n">
        <v>0.002</v>
      </c>
      <c r="G62" s="202" t="n">
        <v>0.003</v>
      </c>
      <c r="H62" s="203" t="n">
        <v>0.002</v>
      </c>
      <c r="I62" s="204" t="n">
        <v>0.002</v>
      </c>
      <c r="J62" s="205" t="n">
        <v>0.002</v>
      </c>
      <c r="K62" s="181" t="n"/>
      <c r="L62" s="169" t="n"/>
      <c r="M62" s="169" t="n"/>
      <c r="N62" s="195" t="n"/>
      <c r="O62" s="169" t="n"/>
      <c r="P62" s="169" t="n"/>
      <c r="Q62" s="85" t="n"/>
    </row>
    <row r="63">
      <c r="A63" s="150" t="n"/>
      <c r="B63" s="201" t="n">
        <v>2059</v>
      </c>
      <c r="C63" s="202" t="n">
        <v>0.003</v>
      </c>
      <c r="D63" s="203" t="n">
        <v>0.002</v>
      </c>
      <c r="E63" s="204" t="n">
        <v>0.002</v>
      </c>
      <c r="F63" s="205" t="n">
        <v>0.002</v>
      </c>
      <c r="G63" s="202" t="n">
        <v>0.003</v>
      </c>
      <c r="H63" s="203" t="n">
        <v>0.002</v>
      </c>
      <c r="I63" s="204" t="n">
        <v>0.002</v>
      </c>
      <c r="J63" s="205" t="n">
        <v>0.002</v>
      </c>
      <c r="K63" s="181" t="n"/>
      <c r="L63" s="169" t="n"/>
      <c r="M63" s="169" t="n"/>
      <c r="N63" s="195" t="n"/>
      <c r="O63" s="169" t="n"/>
      <c r="P63" s="169" t="n"/>
      <c r="Q63" s="85" t="n"/>
    </row>
    <row r="64">
      <c r="A64" s="150" t="n"/>
      <c r="B64" s="201" t="n">
        <v>2060</v>
      </c>
      <c r="C64" s="202" t="n">
        <v>0.003</v>
      </c>
      <c r="D64" s="203" t="n">
        <v>0.002</v>
      </c>
      <c r="E64" s="204" t="n">
        <v>0.002</v>
      </c>
      <c r="F64" s="205" t="n">
        <v>0.002</v>
      </c>
      <c r="G64" s="202" t="n">
        <v>0.003</v>
      </c>
      <c r="H64" s="203" t="n">
        <v>0.002</v>
      </c>
      <c r="I64" s="204" t="n">
        <v>0.002</v>
      </c>
      <c r="J64" s="205" t="n">
        <v>0.002</v>
      </c>
      <c r="K64" s="181" t="n"/>
      <c r="L64" s="169" t="n"/>
      <c r="M64" s="169" t="n"/>
      <c r="N64" s="195" t="n"/>
      <c r="O64" s="169" t="n"/>
      <c r="P64" s="169" t="n"/>
      <c r="Q64" s="85" t="n"/>
    </row>
    <row r="65">
      <c r="A65" s="150" t="n"/>
      <c r="B65" s="201" t="n">
        <v>2061</v>
      </c>
      <c r="C65" s="202" t="n">
        <v>0.003</v>
      </c>
      <c r="D65" s="203" t="n">
        <v>0.002</v>
      </c>
      <c r="E65" s="204" t="n">
        <v>0.002</v>
      </c>
      <c r="F65" s="205" t="n">
        <v>0.002</v>
      </c>
      <c r="G65" s="202" t="n">
        <v>0.003</v>
      </c>
      <c r="H65" s="203" t="n">
        <v>0.002</v>
      </c>
      <c r="I65" s="204" t="n">
        <v>0.002</v>
      </c>
      <c r="J65" s="205" t="n">
        <v>0.002</v>
      </c>
      <c r="K65" s="181" t="n"/>
      <c r="L65" s="169" t="n"/>
      <c r="M65" s="169" t="n"/>
      <c r="N65" s="195" t="n"/>
      <c r="O65" s="169" t="n"/>
      <c r="P65" s="169" t="n"/>
      <c r="Q65" s="85" t="n"/>
    </row>
    <row r="66">
      <c r="A66" s="150" t="n"/>
      <c r="B66" s="201" t="n">
        <v>2062</v>
      </c>
      <c r="C66" s="202" t="n">
        <v>0.003</v>
      </c>
      <c r="D66" s="203" t="n">
        <v>0.002</v>
      </c>
      <c r="E66" s="204" t="n">
        <v>0.002</v>
      </c>
      <c r="F66" s="205" t="n">
        <v>0.002</v>
      </c>
      <c r="G66" s="202" t="n">
        <v>0.003</v>
      </c>
      <c r="H66" s="203" t="n">
        <v>0.002</v>
      </c>
      <c r="I66" s="204" t="n">
        <v>0.002</v>
      </c>
      <c r="J66" s="205" t="n">
        <v>0.002</v>
      </c>
      <c r="K66" s="181" t="n"/>
      <c r="L66" s="169" t="n"/>
      <c r="M66" s="169" t="n"/>
      <c r="N66" s="195" t="n"/>
      <c r="O66" s="169" t="n"/>
      <c r="P66" s="169" t="n"/>
      <c r="Q66" s="85" t="n"/>
    </row>
    <row r="67">
      <c r="A67" s="150" t="n"/>
      <c r="B67" s="201" t="n">
        <v>2063</v>
      </c>
      <c r="C67" s="202" t="n">
        <v>0.003</v>
      </c>
      <c r="D67" s="203" t="n">
        <v>0.002</v>
      </c>
      <c r="E67" s="204" t="n">
        <v>0.002</v>
      </c>
      <c r="F67" s="205" t="n">
        <v>0.002</v>
      </c>
      <c r="G67" s="202" t="n">
        <v>0.003</v>
      </c>
      <c r="H67" s="203" t="n">
        <v>0.002</v>
      </c>
      <c r="I67" s="204" t="n">
        <v>0.002</v>
      </c>
      <c r="J67" s="205" t="n">
        <v>0.002</v>
      </c>
      <c r="K67" s="181" t="n"/>
      <c r="L67" s="169" t="n"/>
      <c r="M67" s="169" t="n"/>
      <c r="N67" s="195" t="n"/>
      <c r="O67" s="169" t="n"/>
      <c r="P67" s="169" t="n"/>
      <c r="Q67" s="85" t="n"/>
    </row>
    <row r="68">
      <c r="A68" s="150" t="n"/>
      <c r="B68" s="201" t="n">
        <v>2064</v>
      </c>
      <c r="C68" s="202" t="n">
        <v>0.003</v>
      </c>
      <c r="D68" s="203" t="n">
        <v>0.002</v>
      </c>
      <c r="E68" s="204" t="n">
        <v>0.002</v>
      </c>
      <c r="F68" s="205" t="n">
        <v>0.002</v>
      </c>
      <c r="G68" s="202" t="n">
        <v>0.003</v>
      </c>
      <c r="H68" s="203" t="n">
        <v>0.002</v>
      </c>
      <c r="I68" s="204" t="n">
        <v>0.002</v>
      </c>
      <c r="J68" s="205" t="n">
        <v>0.002</v>
      </c>
      <c r="K68" s="181" t="n"/>
      <c r="L68" s="169" t="n"/>
      <c r="M68" s="169" t="n"/>
      <c r="N68" s="195" t="n"/>
      <c r="O68" s="169" t="n"/>
      <c r="P68" s="169" t="n"/>
      <c r="Q68" s="85" t="n"/>
    </row>
    <row r="69">
      <c r="A69" s="150" t="n"/>
      <c r="B69" s="201" t="n">
        <v>2065</v>
      </c>
      <c r="C69" s="202" t="n">
        <v>0.003</v>
      </c>
      <c r="D69" s="203" t="n">
        <v>0.002</v>
      </c>
      <c r="E69" s="204" t="n">
        <v>0.002</v>
      </c>
      <c r="F69" s="205" t="n">
        <v>0.002</v>
      </c>
      <c r="G69" s="202" t="n">
        <v>0.003</v>
      </c>
      <c r="H69" s="203" t="n">
        <v>0.002</v>
      </c>
      <c r="I69" s="204" t="n">
        <v>0.002</v>
      </c>
      <c r="J69" s="205" t="n">
        <v>0.002</v>
      </c>
      <c r="K69" s="181" t="n"/>
      <c r="L69" s="169" t="n"/>
      <c r="M69" s="169" t="n"/>
      <c r="N69" s="195" t="n"/>
      <c r="O69" s="169" t="n"/>
      <c r="P69" s="169" t="n"/>
      <c r="Q69" s="85" t="n"/>
    </row>
    <row r="70">
      <c r="A70" s="150" t="n"/>
      <c r="B70" s="201" t="n">
        <v>2066</v>
      </c>
      <c r="C70" s="202" t="n">
        <v>0.003</v>
      </c>
      <c r="D70" s="203" t="n">
        <v>0.002</v>
      </c>
      <c r="E70" s="204" t="n">
        <v>0.002</v>
      </c>
      <c r="F70" s="205" t="n">
        <v>0.002</v>
      </c>
      <c r="G70" s="202" t="n">
        <v>0.003</v>
      </c>
      <c r="H70" s="203" t="n">
        <v>0.002</v>
      </c>
      <c r="I70" s="204" t="n">
        <v>0.002</v>
      </c>
      <c r="J70" s="205" t="n">
        <v>0.002</v>
      </c>
      <c r="K70" s="181" t="n"/>
      <c r="L70" s="169" t="n"/>
      <c r="M70" s="169" t="n"/>
      <c r="N70" s="195" t="n"/>
      <c r="O70" s="169" t="n"/>
      <c r="P70" s="169" t="n"/>
      <c r="Q70" s="85" t="n"/>
    </row>
    <row r="71">
      <c r="A71" s="150" t="n"/>
      <c r="B71" s="201" t="n">
        <v>2067</v>
      </c>
      <c r="C71" s="202" t="n">
        <v>0.003</v>
      </c>
      <c r="D71" s="203" t="n">
        <v>0.002</v>
      </c>
      <c r="E71" s="204" t="n">
        <v>0.002</v>
      </c>
      <c r="F71" s="205" t="n">
        <v>0.002</v>
      </c>
      <c r="G71" s="202" t="n">
        <v>0.003</v>
      </c>
      <c r="H71" s="203" t="n">
        <v>0.002</v>
      </c>
      <c r="I71" s="204" t="n">
        <v>0.002</v>
      </c>
      <c r="J71" s="205" t="n">
        <v>0.002</v>
      </c>
      <c r="K71" s="181" t="n"/>
      <c r="L71" s="169" t="n"/>
      <c r="M71" s="169" t="n"/>
      <c r="N71" s="195" t="n"/>
      <c r="O71" s="169" t="n"/>
      <c r="P71" s="169" t="n"/>
      <c r="Q71" s="85" t="n"/>
    </row>
    <row r="72">
      <c r="A72" s="150" t="n"/>
      <c r="B72" s="201" t="n">
        <v>2068</v>
      </c>
      <c r="C72" s="202" t="n">
        <v>0.003</v>
      </c>
      <c r="D72" s="203" t="n">
        <v>0.002</v>
      </c>
      <c r="E72" s="204" t="n">
        <v>0.002</v>
      </c>
      <c r="F72" s="205" t="n">
        <v>0.002</v>
      </c>
      <c r="G72" s="202" t="n">
        <v>0.003</v>
      </c>
      <c r="H72" s="203" t="n">
        <v>0.002</v>
      </c>
      <c r="I72" s="204" t="n">
        <v>0.002</v>
      </c>
      <c r="J72" s="205" t="n">
        <v>0.002</v>
      </c>
      <c r="K72" s="181" t="n"/>
      <c r="L72" s="169" t="n"/>
      <c r="M72" s="169" t="n"/>
      <c r="N72" s="195" t="n"/>
      <c r="O72" s="169" t="n"/>
      <c r="P72" s="169" t="n"/>
      <c r="Q72" s="85" t="n"/>
    </row>
    <row r="73">
      <c r="A73" s="150" t="n"/>
      <c r="B73" s="201" t="n">
        <v>2069</v>
      </c>
      <c r="C73" s="202" t="n">
        <v>0.003</v>
      </c>
      <c r="D73" s="203" t="n">
        <v>0.002</v>
      </c>
      <c r="E73" s="204" t="n">
        <v>0.002</v>
      </c>
      <c r="F73" s="205" t="n">
        <v>0.002</v>
      </c>
      <c r="G73" s="202" t="n">
        <v>0.003</v>
      </c>
      <c r="H73" s="203" t="n">
        <v>0.002</v>
      </c>
      <c r="I73" s="204" t="n">
        <v>0.002</v>
      </c>
      <c r="J73" s="205" t="n">
        <v>0.002</v>
      </c>
      <c r="K73" s="181" t="n"/>
      <c r="L73" s="169" t="n"/>
      <c r="M73" s="169" t="n"/>
      <c r="N73" s="195" t="n"/>
      <c r="O73" s="169" t="n"/>
      <c r="P73" s="169" t="n"/>
      <c r="Q73" s="85" t="n"/>
    </row>
    <row r="74">
      <c r="A74" s="150" t="n"/>
      <c r="B74" s="201" t="n">
        <v>2070</v>
      </c>
      <c r="C74" s="202" t="n">
        <v>0.003</v>
      </c>
      <c r="D74" s="203" t="n">
        <v>0.002</v>
      </c>
      <c r="E74" s="204" t="n">
        <v>0.002</v>
      </c>
      <c r="F74" s="205" t="n">
        <v>0.002</v>
      </c>
      <c r="G74" s="202" t="n">
        <v>0.003</v>
      </c>
      <c r="H74" s="203" t="n">
        <v>0.002</v>
      </c>
      <c r="I74" s="204" t="n">
        <v>0.002</v>
      </c>
      <c r="J74" s="206" t="n">
        <v>0.002</v>
      </c>
      <c r="K74" s="181" t="n"/>
      <c r="L74" s="169" t="n"/>
      <c r="M74" s="169" t="n"/>
      <c r="N74" s="195" t="n"/>
      <c r="O74" s="169" t="n"/>
      <c r="P74" s="169" t="n"/>
      <c r="Q74" s="85" t="n"/>
    </row>
    <row r="75">
      <c r="A75" s="150" t="n"/>
      <c r="B75" s="201" t="n">
        <v>2071</v>
      </c>
      <c r="C75" s="202" t="n">
        <v>0.003</v>
      </c>
      <c r="D75" s="203" t="n">
        <v>0.002</v>
      </c>
      <c r="E75" s="204" t="n">
        <v>0.002</v>
      </c>
      <c r="F75" s="205" t="n">
        <v>0.002</v>
      </c>
      <c r="G75" s="202" t="n">
        <v>0.003</v>
      </c>
      <c r="H75" s="203" t="n">
        <v>0.002</v>
      </c>
      <c r="I75" s="204" t="n">
        <v>0.002</v>
      </c>
      <c r="J75" s="205" t="n">
        <v>0.002</v>
      </c>
      <c r="K75" s="181" t="n"/>
      <c r="L75" s="169" t="n"/>
      <c r="M75" s="169" t="n"/>
      <c r="N75" s="195" t="n"/>
      <c r="O75" s="169" t="n"/>
      <c r="P75" s="169" t="n"/>
      <c r="Q75" s="85" t="n"/>
    </row>
    <row r="76">
      <c r="A76" s="150" t="n"/>
      <c r="B76" s="201" t="n">
        <v>2072</v>
      </c>
      <c r="C76" s="202" t="n">
        <v>0.003</v>
      </c>
      <c r="D76" s="203" t="n">
        <v>0.002</v>
      </c>
      <c r="E76" s="204" t="n">
        <v>0.002</v>
      </c>
      <c r="F76" s="205" t="n">
        <v>0.002</v>
      </c>
      <c r="G76" s="202" t="n">
        <v>0.003</v>
      </c>
      <c r="H76" s="203" t="n">
        <v>0.002</v>
      </c>
      <c r="I76" s="204" t="n">
        <v>0.002</v>
      </c>
      <c r="J76" s="205" t="n">
        <v>0.002</v>
      </c>
      <c r="K76" s="181" t="n"/>
      <c r="L76" s="169" t="n"/>
      <c r="M76" s="169" t="n"/>
      <c r="N76" s="195" t="n"/>
      <c r="O76" s="169" t="n"/>
      <c r="P76" s="169" t="n"/>
      <c r="Q76" s="85" t="n"/>
    </row>
    <row r="77">
      <c r="A77" s="150" t="n"/>
      <c r="B77" s="201" t="n">
        <v>2073</v>
      </c>
      <c r="C77" s="202" t="n">
        <v>0.003</v>
      </c>
      <c r="D77" s="203" t="n">
        <v>0.002</v>
      </c>
      <c r="E77" s="204" t="n">
        <v>0.002</v>
      </c>
      <c r="F77" s="205" t="n">
        <v>0.002</v>
      </c>
      <c r="G77" s="202" t="n">
        <v>0.003</v>
      </c>
      <c r="H77" s="203" t="n">
        <v>0.002</v>
      </c>
      <c r="I77" s="204" t="n">
        <v>0.002</v>
      </c>
      <c r="J77" s="205" t="n">
        <v>0.002</v>
      </c>
      <c r="K77" s="181" t="n"/>
      <c r="L77" s="169" t="n"/>
      <c r="M77" s="169" t="n"/>
      <c r="N77" s="195" t="n"/>
      <c r="O77" s="169" t="n"/>
      <c r="P77" s="169" t="n"/>
      <c r="Q77" s="85" t="n"/>
    </row>
    <row r="78">
      <c r="A78" s="150" t="n"/>
      <c r="B78" s="201" t="n">
        <v>2074</v>
      </c>
      <c r="C78" s="202" t="n">
        <v>0.003</v>
      </c>
      <c r="D78" s="203" t="n">
        <v>0.002</v>
      </c>
      <c r="E78" s="204" t="n">
        <v>0.002</v>
      </c>
      <c r="F78" s="205" t="n">
        <v>0.002</v>
      </c>
      <c r="G78" s="202" t="n">
        <v>0.003</v>
      </c>
      <c r="H78" s="203" t="n">
        <v>0.002</v>
      </c>
      <c r="I78" s="204" t="n">
        <v>0.002</v>
      </c>
      <c r="J78" s="205" t="n">
        <v>0.002</v>
      </c>
      <c r="K78" s="181" t="n"/>
      <c r="L78" s="169" t="n"/>
      <c r="M78" s="169" t="n"/>
      <c r="N78" s="195" t="n"/>
      <c r="O78" s="169" t="n"/>
      <c r="P78" s="169" t="n"/>
      <c r="Q78" s="85" t="n"/>
    </row>
    <row r="79">
      <c r="A79" s="150" t="n"/>
      <c r="B79" s="201" t="n">
        <v>2075</v>
      </c>
      <c r="C79" s="202" t="n">
        <v>0.003</v>
      </c>
      <c r="D79" s="203" t="n">
        <v>0.002</v>
      </c>
      <c r="E79" s="204" t="n">
        <v>0.002</v>
      </c>
      <c r="F79" s="205" t="n">
        <v>0.002</v>
      </c>
      <c r="G79" s="202" t="n">
        <v>0.003</v>
      </c>
      <c r="H79" s="203" t="n">
        <v>0.002</v>
      </c>
      <c r="I79" s="204" t="n">
        <v>0.002</v>
      </c>
      <c r="J79" s="205" t="n">
        <v>0.002</v>
      </c>
      <c r="K79" s="181" t="n"/>
      <c r="L79" s="169" t="n"/>
      <c r="M79" s="169" t="n"/>
      <c r="N79" s="195" t="n"/>
      <c r="O79" s="169" t="n"/>
      <c r="P79" s="169" t="n"/>
      <c r="Q79" s="85" t="n"/>
    </row>
    <row r="80">
      <c r="A80" s="150" t="n"/>
      <c r="B80" s="201" t="n">
        <v>2076</v>
      </c>
      <c r="C80" s="202" t="n">
        <v>0.003</v>
      </c>
      <c r="D80" s="203" t="n">
        <v>0.002</v>
      </c>
      <c r="E80" s="204" t="n">
        <v>0.002</v>
      </c>
      <c r="F80" s="205" t="n">
        <v>0.002</v>
      </c>
      <c r="G80" s="202" t="n">
        <v>0.003</v>
      </c>
      <c r="H80" s="203" t="n">
        <v>0.002</v>
      </c>
      <c r="I80" s="204" t="n">
        <v>0.002</v>
      </c>
      <c r="J80" s="205" t="n">
        <v>0.002</v>
      </c>
      <c r="K80" s="181" t="n"/>
      <c r="L80" s="169" t="n"/>
      <c r="M80" s="169" t="n"/>
      <c r="N80" s="195" t="n"/>
      <c r="O80" s="169" t="n"/>
      <c r="P80" s="169" t="n"/>
      <c r="Q80" s="85" t="n"/>
    </row>
    <row r="81">
      <c r="A81" s="150" t="n"/>
      <c r="B81" s="201" t="n">
        <v>2077</v>
      </c>
      <c r="C81" s="202" t="n">
        <v>0.003</v>
      </c>
      <c r="D81" s="203" t="n">
        <v>0.002</v>
      </c>
      <c r="E81" s="204" t="n">
        <v>0.002</v>
      </c>
      <c r="F81" s="205" t="n">
        <v>0.002</v>
      </c>
      <c r="G81" s="202" t="n">
        <v>0.003</v>
      </c>
      <c r="H81" s="203" t="n">
        <v>0.002</v>
      </c>
      <c r="I81" s="204" t="n">
        <v>0.002</v>
      </c>
      <c r="J81" s="205" t="n">
        <v>0.002</v>
      </c>
      <c r="K81" s="181" t="n"/>
      <c r="L81" s="169" t="n"/>
      <c r="M81" s="169" t="n"/>
      <c r="N81" s="195" t="n"/>
      <c r="O81" s="169" t="n"/>
      <c r="P81" s="169" t="n"/>
      <c r="Q81" s="85" t="n"/>
    </row>
    <row r="82">
      <c r="A82" s="150" t="n"/>
      <c r="B82" s="201" t="n">
        <v>2078</v>
      </c>
      <c r="C82" s="202" t="n">
        <v>0.003</v>
      </c>
      <c r="D82" s="203" t="n">
        <v>0.002</v>
      </c>
      <c r="E82" s="204" t="n">
        <v>0.002</v>
      </c>
      <c r="F82" s="205" t="n">
        <v>0.002</v>
      </c>
      <c r="G82" s="202" t="n">
        <v>0.003</v>
      </c>
      <c r="H82" s="203" t="n">
        <v>0.002</v>
      </c>
      <c r="I82" s="204" t="n">
        <v>0.002</v>
      </c>
      <c r="J82" s="205" t="n">
        <v>0.002</v>
      </c>
      <c r="K82" s="181" t="n"/>
      <c r="L82" s="169" t="n"/>
      <c r="M82" s="169" t="n"/>
      <c r="N82" s="195" t="n"/>
      <c r="O82" s="169" t="n"/>
      <c r="P82" s="169" t="n"/>
      <c r="Q82" s="85" t="n"/>
    </row>
    <row r="83">
      <c r="A83" s="150" t="n"/>
      <c r="B83" s="201" t="n">
        <v>2079</v>
      </c>
      <c r="C83" s="202" t="n">
        <v>0.003</v>
      </c>
      <c r="D83" s="203" t="n">
        <v>0.002</v>
      </c>
      <c r="E83" s="204" t="n">
        <v>0.002</v>
      </c>
      <c r="F83" s="205" t="n">
        <v>0.002</v>
      </c>
      <c r="G83" s="202" t="n">
        <v>0.003</v>
      </c>
      <c r="H83" s="203" t="n">
        <v>0.002</v>
      </c>
      <c r="I83" s="204" t="n">
        <v>0.002</v>
      </c>
      <c r="J83" s="205" t="n">
        <v>0.002</v>
      </c>
      <c r="K83" s="181" t="n"/>
      <c r="L83" s="169" t="n"/>
      <c r="M83" s="169" t="n"/>
      <c r="N83" s="195" t="n"/>
      <c r="O83" s="169" t="n"/>
      <c r="P83" s="169" t="n"/>
      <c r="Q83" s="85" t="n"/>
    </row>
    <row r="84">
      <c r="A84" s="150" t="n"/>
      <c r="B84" s="201" t="n">
        <v>2080</v>
      </c>
      <c r="C84" s="202" t="n">
        <v>0.003</v>
      </c>
      <c r="D84" s="203" t="n">
        <v>0.002</v>
      </c>
      <c r="E84" s="204" t="n">
        <v>0.002</v>
      </c>
      <c r="F84" s="205" t="n">
        <v>0.002</v>
      </c>
      <c r="G84" s="202" t="n">
        <v>0.003</v>
      </c>
      <c r="H84" s="203" t="n">
        <v>0.002</v>
      </c>
      <c r="I84" s="204" t="n">
        <v>0.002</v>
      </c>
      <c r="J84" s="205" t="n">
        <v>0.002</v>
      </c>
      <c r="K84" s="181" t="n"/>
      <c r="L84" s="169" t="n"/>
      <c r="M84" s="169" t="n"/>
      <c r="N84" s="195" t="n"/>
      <c r="O84" s="169" t="n"/>
      <c r="P84" s="169" t="n"/>
      <c r="Q84" s="85" t="n"/>
    </row>
    <row r="85">
      <c r="A85" s="150" t="n"/>
      <c r="B85" s="201" t="n">
        <v>2081</v>
      </c>
      <c r="C85" s="202" t="n">
        <v>0.003</v>
      </c>
      <c r="D85" s="203" t="n">
        <v>0.002</v>
      </c>
      <c r="E85" s="204" t="n">
        <v>0.002</v>
      </c>
      <c r="F85" s="205" t="n">
        <v>0.002</v>
      </c>
      <c r="G85" s="202" t="n">
        <v>0.003</v>
      </c>
      <c r="H85" s="203" t="n">
        <v>0.002</v>
      </c>
      <c r="I85" s="204" t="n">
        <v>0.002</v>
      </c>
      <c r="J85" s="205" t="n">
        <v>0.002</v>
      </c>
      <c r="K85" s="181" t="n"/>
      <c r="L85" s="169" t="n"/>
      <c r="M85" s="169" t="n"/>
      <c r="N85" s="195" t="n"/>
      <c r="O85" s="169" t="n"/>
      <c r="P85" s="169" t="n"/>
      <c r="Q85" s="85" t="n"/>
    </row>
    <row r="86">
      <c r="A86" s="150" t="n"/>
      <c r="B86" s="201" t="n">
        <v>2082</v>
      </c>
      <c r="C86" s="202" t="n">
        <v>0.003</v>
      </c>
      <c r="D86" s="203" t="n">
        <v>0.002</v>
      </c>
      <c r="E86" s="204" t="n">
        <v>0.002</v>
      </c>
      <c r="F86" s="205" t="n">
        <v>0.002</v>
      </c>
      <c r="G86" s="202" t="n">
        <v>0.003</v>
      </c>
      <c r="H86" s="203" t="n">
        <v>0.002</v>
      </c>
      <c r="I86" s="204" t="n">
        <v>0.002</v>
      </c>
      <c r="J86" s="205" t="n">
        <v>0.002</v>
      </c>
      <c r="K86" s="181" t="n"/>
      <c r="L86" s="169" t="n"/>
      <c r="M86" s="169" t="n"/>
      <c r="N86" s="195" t="n"/>
      <c r="O86" s="169" t="n"/>
      <c r="P86" s="169" t="n"/>
      <c r="Q86" s="85" t="n"/>
    </row>
    <row r="87">
      <c r="A87" s="150" t="n"/>
      <c r="B87" s="201" t="n">
        <v>2083</v>
      </c>
      <c r="C87" s="202" t="n">
        <v>0.003</v>
      </c>
      <c r="D87" s="203" t="n">
        <v>0.002</v>
      </c>
      <c r="E87" s="204" t="n">
        <v>0.002</v>
      </c>
      <c r="F87" s="205" t="n">
        <v>0.002</v>
      </c>
      <c r="G87" s="202" t="n">
        <v>0.003</v>
      </c>
      <c r="H87" s="203" t="n">
        <v>0.002</v>
      </c>
      <c r="I87" s="204" t="n">
        <v>0.002</v>
      </c>
      <c r="J87" s="205" t="n">
        <v>0.002</v>
      </c>
      <c r="K87" s="181" t="n"/>
      <c r="L87" s="169" t="n"/>
      <c r="M87" s="169" t="n"/>
      <c r="N87" s="195" t="n"/>
      <c r="O87" s="169" t="n"/>
      <c r="P87" s="169" t="n"/>
      <c r="Q87" s="85" t="n"/>
    </row>
    <row r="88">
      <c r="A88" s="150" t="n"/>
      <c r="B88" s="201" t="n">
        <v>2084</v>
      </c>
      <c r="C88" s="202" t="n">
        <v>0.003</v>
      </c>
      <c r="D88" s="203" t="n">
        <v>0.002</v>
      </c>
      <c r="E88" s="204" t="n">
        <v>0.002</v>
      </c>
      <c r="F88" s="205" t="n">
        <v>0.002</v>
      </c>
      <c r="G88" s="202" t="n">
        <v>0.003</v>
      </c>
      <c r="H88" s="203" t="n">
        <v>0.002</v>
      </c>
      <c r="I88" s="204" t="n">
        <v>0.002</v>
      </c>
      <c r="J88" s="206" t="n">
        <v>0.002</v>
      </c>
      <c r="K88" s="181" t="n"/>
      <c r="L88" s="169" t="n"/>
      <c r="M88" s="169" t="n"/>
      <c r="N88" s="195" t="n"/>
      <c r="O88" s="169" t="n"/>
      <c r="P88" s="169" t="n"/>
      <c r="Q88" s="85" t="n"/>
    </row>
    <row r="89">
      <c r="A89" s="150" t="n"/>
      <c r="B89" s="201" t="n">
        <v>2085</v>
      </c>
      <c r="C89" s="202" t="n">
        <v>0.003</v>
      </c>
      <c r="D89" s="203" t="n">
        <v>0.002</v>
      </c>
      <c r="E89" s="204" t="n">
        <v>0.002</v>
      </c>
      <c r="F89" s="205" t="n">
        <v>0.002</v>
      </c>
      <c r="G89" s="202" t="n">
        <v>0.003</v>
      </c>
      <c r="H89" s="203" t="n">
        <v>0.002</v>
      </c>
      <c r="I89" s="204" t="n">
        <v>0.002</v>
      </c>
      <c r="J89" s="205" t="n">
        <v>0.002</v>
      </c>
      <c r="K89" s="181" t="n"/>
      <c r="L89" s="169" t="n"/>
      <c r="M89" s="169" t="n"/>
      <c r="N89" s="195" t="n"/>
      <c r="O89" s="169" t="n"/>
      <c r="P89" s="169" t="n"/>
      <c r="Q89" s="85" t="n"/>
    </row>
    <row r="90">
      <c r="A90" s="150" t="n"/>
      <c r="B90" s="201" t="n">
        <v>2086</v>
      </c>
      <c r="C90" s="202" t="n">
        <v>0.003</v>
      </c>
      <c r="D90" s="203" t="n">
        <v>0.002</v>
      </c>
      <c r="E90" s="204" t="n">
        <v>0.002</v>
      </c>
      <c r="F90" s="205" t="n">
        <v>0.002</v>
      </c>
      <c r="G90" s="202" t="n">
        <v>0.003</v>
      </c>
      <c r="H90" s="203" t="n">
        <v>0.002</v>
      </c>
      <c r="I90" s="204" t="n">
        <v>0.002</v>
      </c>
      <c r="J90" s="205" t="n">
        <v>0.002</v>
      </c>
      <c r="K90" s="181" t="n"/>
      <c r="L90" s="169" t="n"/>
      <c r="M90" s="169" t="n"/>
      <c r="N90" s="195" t="n"/>
      <c r="O90" s="169" t="n"/>
      <c r="P90" s="169" t="n"/>
      <c r="Q90" s="85" t="n"/>
    </row>
    <row r="91">
      <c r="A91" s="150" t="n"/>
      <c r="B91" s="201" t="n">
        <v>2087</v>
      </c>
      <c r="C91" s="202" t="n">
        <v>0.003</v>
      </c>
      <c r="D91" s="203" t="n">
        <v>0.002</v>
      </c>
      <c r="E91" s="204" t="n">
        <v>0.002</v>
      </c>
      <c r="F91" s="205" t="n">
        <v>0.002</v>
      </c>
      <c r="G91" s="202" t="n">
        <v>0.003</v>
      </c>
      <c r="H91" s="203" t="n">
        <v>0.002</v>
      </c>
      <c r="I91" s="204" t="n">
        <v>0.002</v>
      </c>
      <c r="J91" s="205" t="n">
        <v>0.002</v>
      </c>
      <c r="K91" s="181" t="n"/>
      <c r="L91" s="169" t="n"/>
      <c r="M91" s="169" t="n"/>
      <c r="N91" s="195" t="n"/>
      <c r="O91" s="169" t="n"/>
      <c r="P91" s="169" t="n"/>
      <c r="Q91" s="85" t="n"/>
    </row>
    <row r="92">
      <c r="A92" s="150" t="n"/>
      <c r="B92" s="201" t="n">
        <v>2088</v>
      </c>
      <c r="C92" s="202" t="n">
        <v>0.003</v>
      </c>
      <c r="D92" s="203" t="n">
        <v>0.002</v>
      </c>
      <c r="E92" s="204" t="n">
        <v>0.002</v>
      </c>
      <c r="F92" s="205" t="n">
        <v>0.002</v>
      </c>
      <c r="G92" s="202" t="n">
        <v>0.003</v>
      </c>
      <c r="H92" s="203" t="n">
        <v>0.002</v>
      </c>
      <c r="I92" s="204" t="n">
        <v>0.002</v>
      </c>
      <c r="J92" s="205" t="n">
        <v>0.002</v>
      </c>
      <c r="K92" s="181" t="n"/>
      <c r="L92" s="169" t="n"/>
      <c r="M92" s="169" t="n"/>
      <c r="N92" s="195" t="n"/>
      <c r="O92" s="169" t="n"/>
      <c r="P92" s="169" t="n"/>
      <c r="Q92" s="85" t="n"/>
    </row>
    <row r="93">
      <c r="A93" s="150" t="n"/>
      <c r="B93" s="201" t="n">
        <v>2089</v>
      </c>
      <c r="C93" s="202" t="n">
        <v>0.003</v>
      </c>
      <c r="D93" s="203" t="n">
        <v>0.002</v>
      </c>
      <c r="E93" s="204" t="n">
        <v>0.002</v>
      </c>
      <c r="F93" s="205" t="n">
        <v>0.002</v>
      </c>
      <c r="G93" s="202" t="n">
        <v>0.003</v>
      </c>
      <c r="H93" s="203" t="n">
        <v>0.002</v>
      </c>
      <c r="I93" s="204" t="n">
        <v>0.002</v>
      </c>
      <c r="J93" s="205" t="n">
        <v>0.002</v>
      </c>
      <c r="K93" s="181" t="n"/>
      <c r="L93" s="169" t="n"/>
      <c r="M93" s="169" t="n"/>
      <c r="N93" s="195" t="n"/>
      <c r="O93" s="169" t="n"/>
      <c r="P93" s="169" t="n"/>
      <c r="Q93" s="85" t="n"/>
    </row>
    <row r="94">
      <c r="A94" s="150" t="n"/>
      <c r="B94" s="201" t="n">
        <v>2090</v>
      </c>
      <c r="C94" s="202" t="n">
        <v>0.003</v>
      </c>
      <c r="D94" s="203" t="n">
        <v>0.002</v>
      </c>
      <c r="E94" s="204" t="n">
        <v>0.002</v>
      </c>
      <c r="F94" s="205" t="n">
        <v>0.002</v>
      </c>
      <c r="G94" s="202" t="n">
        <v>0.003</v>
      </c>
      <c r="H94" s="203" t="n">
        <v>0.002</v>
      </c>
      <c r="I94" s="204" t="n">
        <v>0.002</v>
      </c>
      <c r="J94" s="205" t="n">
        <v>0.002</v>
      </c>
      <c r="K94" s="181" t="n"/>
      <c r="L94" s="169" t="n"/>
      <c r="M94" s="169" t="n"/>
      <c r="N94" s="195" t="n"/>
      <c r="O94" s="169" t="n"/>
      <c r="P94" s="169" t="n"/>
      <c r="Q94" s="85" t="n"/>
    </row>
    <row r="95">
      <c r="A95" s="150" t="n"/>
      <c r="B95" s="201" t="n">
        <v>2091</v>
      </c>
      <c r="C95" s="202" t="n">
        <v>0.003</v>
      </c>
      <c r="D95" s="203" t="n">
        <v>0.002</v>
      </c>
      <c r="E95" s="204" t="n">
        <v>0.002</v>
      </c>
      <c r="F95" s="205" t="n">
        <v>0.002</v>
      </c>
      <c r="G95" s="202" t="n">
        <v>0.003</v>
      </c>
      <c r="H95" s="203" t="n">
        <v>0.002</v>
      </c>
      <c r="I95" s="204" t="n">
        <v>0.002</v>
      </c>
      <c r="J95" s="205" t="n">
        <v>0.002</v>
      </c>
      <c r="K95" s="181" t="n"/>
      <c r="L95" s="169" t="n"/>
      <c r="M95" s="169" t="n"/>
      <c r="N95" s="195" t="n"/>
      <c r="O95" s="169" t="n"/>
      <c r="P95" s="169" t="n"/>
      <c r="Q95" s="85" t="n"/>
    </row>
    <row r="96">
      <c r="A96" s="150" t="n"/>
      <c r="B96" s="201" t="n">
        <v>2092</v>
      </c>
      <c r="C96" s="202" t="n">
        <v>0.003</v>
      </c>
      <c r="D96" s="203" t="n">
        <v>0.002</v>
      </c>
      <c r="E96" s="204" t="n">
        <v>0.002</v>
      </c>
      <c r="F96" s="205" t="n">
        <v>0.002</v>
      </c>
      <c r="G96" s="202" t="n">
        <v>0.003</v>
      </c>
      <c r="H96" s="203" t="n">
        <v>0.002</v>
      </c>
      <c r="I96" s="204" t="n">
        <v>0.002</v>
      </c>
      <c r="J96" s="205" t="n">
        <v>0.002</v>
      </c>
      <c r="K96" s="181" t="n"/>
      <c r="L96" s="169" t="n"/>
      <c r="M96" s="169" t="n"/>
      <c r="N96" s="195" t="n"/>
      <c r="O96" s="169" t="n"/>
      <c r="P96" s="169" t="n"/>
      <c r="Q96" s="85" t="n"/>
    </row>
    <row r="97">
      <c r="A97" s="150" t="n"/>
      <c r="B97" s="201" t="n">
        <v>2093</v>
      </c>
      <c r="C97" s="202" t="n">
        <v>0.003</v>
      </c>
      <c r="D97" s="203" t="n">
        <v>0.002</v>
      </c>
      <c r="E97" s="204" t="n">
        <v>0.002</v>
      </c>
      <c r="F97" s="205" t="n">
        <v>0.002</v>
      </c>
      <c r="G97" s="202" t="n">
        <v>0.003</v>
      </c>
      <c r="H97" s="203" t="n">
        <v>0.002</v>
      </c>
      <c r="I97" s="204" t="n">
        <v>0.002</v>
      </c>
      <c r="J97" s="205" t="n">
        <v>0.002</v>
      </c>
      <c r="K97" s="181" t="n"/>
      <c r="L97" s="169" t="n"/>
      <c r="M97" s="169" t="n"/>
      <c r="N97" s="195" t="n"/>
      <c r="O97" s="169" t="n"/>
      <c r="P97" s="169" t="n"/>
      <c r="Q97" s="85" t="n"/>
    </row>
    <row r="98">
      <c r="A98" s="150" t="n"/>
      <c r="B98" s="201" t="n">
        <v>2094</v>
      </c>
      <c r="C98" s="202" t="n">
        <v>0.003</v>
      </c>
      <c r="D98" s="203" t="n">
        <v>0.002</v>
      </c>
      <c r="E98" s="204" t="n">
        <v>0.002</v>
      </c>
      <c r="F98" s="205" t="n">
        <v>0.002</v>
      </c>
      <c r="G98" s="202" t="n">
        <v>0.003</v>
      </c>
      <c r="H98" s="203" t="n">
        <v>0.002</v>
      </c>
      <c r="I98" s="204" t="n">
        <v>0.002</v>
      </c>
      <c r="J98" s="205" t="n">
        <v>0.002</v>
      </c>
      <c r="K98" s="181" t="n"/>
      <c r="L98" s="169" t="n"/>
      <c r="M98" s="169" t="n"/>
      <c r="N98" s="195" t="n"/>
      <c r="O98" s="169" t="n"/>
      <c r="P98" s="169" t="n"/>
      <c r="Q98" s="85" t="n"/>
    </row>
    <row r="99">
      <c r="A99" s="150" t="n"/>
      <c r="B99" s="201" t="n">
        <v>2095</v>
      </c>
      <c r="C99" s="202" t="n">
        <v>0.003</v>
      </c>
      <c r="D99" s="203" t="n">
        <v>0.002</v>
      </c>
      <c r="E99" s="204" t="n">
        <v>0.002</v>
      </c>
      <c r="F99" s="205" t="n">
        <v>0.002</v>
      </c>
      <c r="G99" s="202" t="n">
        <v>0.003</v>
      </c>
      <c r="H99" s="203" t="n">
        <v>0.002</v>
      </c>
      <c r="I99" s="204" t="n">
        <v>0.002</v>
      </c>
      <c r="J99" s="205" t="n">
        <v>0.002</v>
      </c>
      <c r="K99" s="181" t="n"/>
      <c r="L99" s="169" t="n"/>
      <c r="M99" s="169" t="n"/>
      <c r="N99" s="195" t="n"/>
      <c r="O99" s="169" t="n"/>
      <c r="P99" s="169" t="n"/>
      <c r="Q99" s="85" t="n"/>
    </row>
    <row r="100">
      <c r="A100" s="150" t="n"/>
      <c r="B100" s="201" t="n">
        <v>2096</v>
      </c>
      <c r="C100" s="202" t="n">
        <v>0.003</v>
      </c>
      <c r="D100" s="203" t="n">
        <v>0.002</v>
      </c>
      <c r="E100" s="204" t="n">
        <v>0.002</v>
      </c>
      <c r="F100" s="205" t="n">
        <v>0.002</v>
      </c>
      <c r="G100" s="202" t="n">
        <v>0.003</v>
      </c>
      <c r="H100" s="203" t="n">
        <v>0.002</v>
      </c>
      <c r="I100" s="204" t="n">
        <v>0.002</v>
      </c>
      <c r="J100" s="205" t="n">
        <v>0.002</v>
      </c>
      <c r="K100" s="181" t="n"/>
      <c r="L100" s="169" t="n"/>
      <c r="M100" s="169" t="n"/>
      <c r="N100" s="195" t="n"/>
      <c r="O100" s="169" t="n"/>
      <c r="P100" s="169" t="n"/>
      <c r="Q100" s="85" t="n"/>
    </row>
    <row r="101">
      <c r="A101" s="150" t="n"/>
      <c r="B101" s="201" t="n">
        <v>2097</v>
      </c>
      <c r="C101" s="202" t="n">
        <v>0.003</v>
      </c>
      <c r="D101" s="203" t="n">
        <v>0.002</v>
      </c>
      <c r="E101" s="204" t="n">
        <v>0.002</v>
      </c>
      <c r="F101" s="205" t="n">
        <v>0.002</v>
      </c>
      <c r="G101" s="202" t="n">
        <v>0.003</v>
      </c>
      <c r="H101" s="203" t="n">
        <v>0.002</v>
      </c>
      <c r="I101" s="204" t="n">
        <v>0.002</v>
      </c>
      <c r="J101" s="205" t="n">
        <v>0.002</v>
      </c>
      <c r="K101" s="181" t="n"/>
      <c r="L101" s="169" t="n"/>
      <c r="M101" s="169" t="n"/>
      <c r="N101" s="195" t="n"/>
      <c r="O101" s="169" t="n"/>
      <c r="P101" s="169" t="n"/>
      <c r="Q101" s="85" t="n"/>
    </row>
    <row r="102">
      <c r="A102" s="150" t="n"/>
      <c r="B102" s="201" t="n">
        <v>2098</v>
      </c>
      <c r="C102" s="202" t="n">
        <v>0.003</v>
      </c>
      <c r="D102" s="203" t="n">
        <v>0.002</v>
      </c>
      <c r="E102" s="204" t="n">
        <v>0.002</v>
      </c>
      <c r="F102" s="205" t="n">
        <v>0.002</v>
      </c>
      <c r="G102" s="202" t="n">
        <v>0.003</v>
      </c>
      <c r="H102" s="203" t="n">
        <v>0.002</v>
      </c>
      <c r="I102" s="204" t="n">
        <v>0.002</v>
      </c>
      <c r="J102" s="206" t="n">
        <v>0.002</v>
      </c>
      <c r="K102" s="181" t="n"/>
      <c r="L102" s="169" t="n"/>
      <c r="M102" s="169" t="n"/>
      <c r="N102" s="195" t="n"/>
      <c r="O102" s="169" t="n"/>
      <c r="P102" s="169" t="n"/>
      <c r="Q102" s="85" t="n"/>
    </row>
    <row r="103">
      <c r="A103" s="150" t="n"/>
      <c r="B103" s="201" t="n">
        <v>2099</v>
      </c>
      <c r="C103" s="202" t="n">
        <v>0.003</v>
      </c>
      <c r="D103" s="203" t="n">
        <v>0.002</v>
      </c>
      <c r="E103" s="204" t="n">
        <v>0.002</v>
      </c>
      <c r="F103" s="205" t="n">
        <v>0.002</v>
      </c>
      <c r="G103" s="202" t="n">
        <v>0.003</v>
      </c>
      <c r="H103" s="203" t="n">
        <v>0.002</v>
      </c>
      <c r="I103" s="204" t="n">
        <v>0.002</v>
      </c>
      <c r="J103" s="205" t="n">
        <v>0.002</v>
      </c>
      <c r="K103" s="181" t="n"/>
      <c r="L103" s="169" t="n"/>
      <c r="M103" s="169" t="n"/>
      <c r="N103" s="195" t="n"/>
      <c r="O103" s="169" t="n"/>
      <c r="P103" s="169" t="n"/>
      <c r="Q103" s="85" t="n"/>
    </row>
    <row r="104">
      <c r="A104" s="150" t="n"/>
      <c r="B104" s="207" t="n">
        <v>2100</v>
      </c>
      <c r="C104" s="208" t="n">
        <v>0.003</v>
      </c>
      <c r="D104" s="209" t="n">
        <v>0.002</v>
      </c>
      <c r="E104" s="210" t="n">
        <v>0.002</v>
      </c>
      <c r="F104" s="211" t="n">
        <v>0.002</v>
      </c>
      <c r="G104" s="208" t="n">
        <v>0.003</v>
      </c>
      <c r="H104" s="209" t="n">
        <v>0.002</v>
      </c>
      <c r="I104" s="210" t="n">
        <v>0.002</v>
      </c>
      <c r="J104" s="211" t="n">
        <v>0.002</v>
      </c>
      <c r="K104" s="181" t="n"/>
      <c r="L104" s="169" t="n"/>
      <c r="M104" s="169" t="n"/>
      <c r="N104" s="195" t="n"/>
      <c r="O104" s="169" t="n"/>
      <c r="P104" s="169" t="n"/>
      <c r="Q104" s="85" t="n"/>
    </row>
    <row r="105">
      <c r="A105" s="83" t="n"/>
      <c r="B105" s="167" t="n"/>
      <c r="C105" s="167" t="n"/>
      <c r="D105" s="167" t="n"/>
      <c r="E105" s="167" t="n"/>
      <c r="F105" s="167" t="n"/>
      <c r="G105" s="167" t="n"/>
      <c r="H105" s="167" t="n"/>
      <c r="I105" s="167" t="n"/>
      <c r="J105" s="167" t="n"/>
      <c r="K105" s="169" t="n"/>
      <c r="L105" s="169" t="n"/>
      <c r="M105" s="169" t="n"/>
      <c r="N105" s="195" t="n"/>
      <c r="O105" s="169" t="n"/>
      <c r="P105" s="169" t="n"/>
      <c r="Q105" s="85" t="n"/>
    </row>
    <row r="106">
      <c r="A106" s="83" t="n"/>
      <c r="B106" s="212" t="inlineStr">
        <is>
          <t>Note: GHGs include CO2, CH4 and N2O.</t>
        </is>
      </c>
      <c r="C106" s="169" t="n"/>
      <c r="D106" s="169" t="n"/>
      <c r="E106" s="169" t="n"/>
      <c r="F106" s="169" t="n"/>
      <c r="G106" s="169" t="n"/>
      <c r="H106" s="169" t="n"/>
      <c r="I106" s="169" t="n"/>
      <c r="J106" s="169" t="n"/>
      <c r="K106" s="169" t="n"/>
      <c r="L106" s="169" t="n"/>
      <c r="M106" s="169" t="n"/>
      <c r="N106" s="169" t="n"/>
      <c r="O106" s="169" t="n"/>
      <c r="P106" s="169" t="n"/>
      <c r="Q106" s="85" t="n"/>
    </row>
    <row r="107">
      <c r="A107" s="83" t="n"/>
      <c r="B107" s="169" t="n"/>
      <c r="C107" s="169" t="n"/>
      <c r="D107" s="169" t="n"/>
      <c r="E107" s="169" t="n"/>
      <c r="F107" s="169" t="n"/>
      <c r="G107" s="169" t="n"/>
      <c r="H107" s="169" t="n"/>
      <c r="I107" s="169" t="n"/>
      <c r="J107" s="169" t="n"/>
      <c r="K107" s="169" t="n"/>
      <c r="L107" s="169" t="n"/>
      <c r="M107" s="169" t="n"/>
      <c r="N107" s="169" t="n"/>
      <c r="O107" s="169" t="n"/>
      <c r="P107" s="169" t="n"/>
      <c r="Q107" s="85" t="n"/>
    </row>
    <row r="108">
      <c r="A108" s="83" t="n"/>
      <c r="B108" s="213" t="inlineStr">
        <is>
          <t>Source: DESNZmodelling</t>
        </is>
      </c>
      <c r="C108" s="83" t="n"/>
      <c r="D108" s="169" t="n"/>
      <c r="E108" s="169" t="n"/>
      <c r="F108" s="169" t="n"/>
      <c r="G108" s="169" t="n"/>
      <c r="H108" s="169" t="n"/>
      <c r="I108" s="169" t="n"/>
      <c r="J108" s="169" t="n"/>
      <c r="K108" s="169" t="n"/>
      <c r="L108" s="169" t="n"/>
      <c r="M108" s="169" t="n"/>
      <c r="N108" s="169" t="n"/>
      <c r="O108" s="169" t="n"/>
      <c r="P108" s="169" t="n"/>
      <c r="Q108" s="85" t="n"/>
    </row>
    <row r="109">
      <c r="A109" s="83" t="n"/>
      <c r="B109" s="169" t="n"/>
      <c r="C109" s="169" t="n"/>
      <c r="D109" s="169" t="n"/>
      <c r="E109" s="169" t="n"/>
      <c r="F109" s="169" t="n"/>
      <c r="G109" s="169" t="n"/>
      <c r="H109" s="169" t="n"/>
      <c r="I109" s="169" t="n"/>
      <c r="J109" s="169" t="n"/>
      <c r="K109" s="169" t="n"/>
      <c r="L109" s="169" t="n"/>
      <c r="M109" s="169" t="n"/>
      <c r="N109" s="169" t="n"/>
      <c r="O109" s="169" t="n"/>
      <c r="P109" s="169" t="n"/>
      <c r="Q109" s="85" t="n"/>
    </row>
    <row r="110">
      <c r="A110" s="83" t="n"/>
      <c r="B110" s="170" t="inlineStr">
        <is>
          <t>Further guidance on the use of marginal and average emissions factors are available from the appraisal guidance (Chapter 3) and the background documentation (Chapter 2) which can be downloaded from the Green Gook supplementary guidance section of GOV.UK webpage:</t>
        </is>
      </c>
      <c r="C110" s="285" t="n"/>
      <c r="D110" s="285" t="n"/>
      <c r="E110" s="285" t="n"/>
      <c r="F110" s="285" t="n"/>
      <c r="G110" s="285" t="n"/>
      <c r="H110" s="285" t="n"/>
      <c r="I110" s="285" t="n"/>
      <c r="J110" s="286" t="n"/>
      <c r="K110" s="169" t="n"/>
      <c r="L110" s="169" t="n"/>
      <c r="M110" s="169" t="n"/>
      <c r="N110" s="169" t="n"/>
      <c r="O110" s="169" t="n"/>
      <c r="P110" s="169" t="n"/>
      <c r="Q110" s="85" t="n"/>
    </row>
    <row r="111">
      <c r="A111" s="83" t="n"/>
      <c r="B111" s="171" t="inlineStr">
        <is>
          <t>https://www.gov.uk/government/publications/valuation-of-energy-use-and-greenhouse-gas-emissions-for-appraisal</t>
        </is>
      </c>
      <c r="C111" s="169" t="n"/>
      <c r="D111" s="169" t="n"/>
      <c r="E111" s="169" t="n"/>
      <c r="F111" s="169" t="n"/>
      <c r="G111" s="169" t="n"/>
      <c r="H111" s="169" t="n"/>
      <c r="I111" s="169" t="n"/>
      <c r="J111" s="169" t="n"/>
      <c r="K111" s="169" t="n"/>
      <c r="L111" s="169" t="n"/>
      <c r="M111" s="169" t="n"/>
      <c r="N111" s="169" t="n"/>
      <c r="O111" s="169" t="n"/>
      <c r="P111" s="169" t="n"/>
      <c r="Q111" s="85" t="n"/>
    </row>
    <row r="112">
      <c r="A112" s="109" t="n"/>
      <c r="B112" s="110" t="n"/>
      <c r="C112" s="110" t="n"/>
      <c r="D112" s="110" t="n"/>
      <c r="E112" s="110" t="n"/>
      <c r="F112" s="110" t="n"/>
      <c r="G112" s="110" t="n"/>
      <c r="H112" s="110" t="n"/>
      <c r="I112" s="110" t="n"/>
      <c r="J112" s="110" t="n"/>
      <c r="K112" s="110" t="n"/>
      <c r="L112" s="110" t="n"/>
      <c r="M112" s="110" t="n"/>
      <c r="N112" s="110" t="n"/>
      <c r="O112" s="110" t="n"/>
      <c r="P112" s="110" t="n"/>
      <c r="Q112" s="111" t="n"/>
    </row>
  </sheetData>
  <mergeCells count="10">
    <mergeCell ref="B7:J7"/>
    <mergeCell ref="B5:J5"/>
    <mergeCell ref="F12:F13"/>
    <mergeCell ref="J12:J13"/>
    <mergeCell ref="B110:J110"/>
    <mergeCell ref="B9:J9"/>
    <mergeCell ref="G12:I12"/>
    <mergeCell ref="C11:F11"/>
    <mergeCell ref="G11:J11"/>
    <mergeCell ref="C12:E12"/>
  </mergeCells>
  <hyperlinks>
    <hyperlink xmlns:r="http://schemas.openxmlformats.org/officeDocument/2006/relationships" ref="B111" r:id="rId1"/>
  </hyperlinks>
  <pageMargins left="0.75" right="0.75" top="1" bottom="1" header="0.5" footer="0.5"/>
  <drawing xmlns:r="http://schemas.openxmlformats.org/officeDocument/2006/relationships" r:id="rId2"/>
</worksheet>
</file>

<file path=xl/worksheets/sheet8.xml><?xml version="1.0" encoding="utf-8"?>
<worksheet xmlns="http://schemas.openxmlformats.org/spreadsheetml/2006/main">
  <sheetPr>
    <outlinePr summaryBelow="0" summaryRight="0"/>
    <pageSetUpPr/>
  </sheetPr>
  <dimension ref="A1:CD140"/>
  <sheetViews>
    <sheetView workbookViewId="0">
      <selection activeCell="A1" sqref="A1"/>
    </sheetView>
  </sheetViews>
  <sheetFormatPr baseColWidth="8" defaultColWidth="12.63" defaultRowHeight="15.75" customHeight="1"/>
  <sheetData>
    <row r="1">
      <c r="A1" s="214" t="inlineStr">
        <is>
          <t xml:space="preserve">Source: https://assets.publishing.service.gov.uk/media/6567994fcc1ec5000d8eef17/data-tables-1-19.xlsx </t>
        </is>
      </c>
    </row>
    <row r="3">
      <c r="A3" s="214" t="n"/>
      <c r="B3" s="81" t="n"/>
      <c r="C3" s="81" t="n"/>
      <c r="D3" s="81" t="n"/>
      <c r="E3" s="81" t="n"/>
      <c r="F3" s="81" t="n"/>
      <c r="G3" s="81" t="n"/>
      <c r="H3" s="81" t="n"/>
      <c r="I3" s="81" t="n"/>
      <c r="J3" s="81" t="n"/>
      <c r="K3" s="81" t="n"/>
      <c r="L3" s="81" t="n"/>
      <c r="M3" s="81" t="n"/>
      <c r="N3" s="81" t="n"/>
      <c r="O3" s="81" t="n"/>
      <c r="P3" s="81" t="n"/>
      <c r="Q3" s="81" t="n"/>
      <c r="R3" s="81" t="n"/>
      <c r="S3" s="81" t="n"/>
      <c r="T3" s="81" t="n"/>
      <c r="U3" s="81" t="n"/>
      <c r="V3" s="81" t="n"/>
      <c r="W3" s="81" t="n"/>
      <c r="X3" s="81" t="n"/>
      <c r="Y3" s="81" t="n"/>
      <c r="Z3" s="81" t="n"/>
      <c r="AA3" s="81" t="n"/>
      <c r="AB3" s="81" t="n"/>
      <c r="AC3" s="81" t="n"/>
      <c r="AD3" s="81" t="n"/>
      <c r="AE3" s="81" t="n"/>
      <c r="AF3" s="81" t="n"/>
      <c r="AG3" s="81" t="n"/>
      <c r="AH3" s="81" t="n"/>
      <c r="AI3" s="81" t="n"/>
      <c r="AJ3" s="81" t="n"/>
      <c r="AK3" s="81" t="n"/>
      <c r="AL3" s="81" t="n"/>
      <c r="AM3" s="81" t="n"/>
      <c r="AN3" s="81" t="n"/>
      <c r="AO3" s="81" t="n"/>
      <c r="AP3" s="81" t="n"/>
      <c r="AQ3" s="81" t="n"/>
      <c r="AR3" s="81" t="n"/>
      <c r="AS3" s="81" t="n"/>
      <c r="AT3" s="81" t="n"/>
      <c r="AU3" s="81" t="n"/>
      <c r="AV3" s="81" t="n"/>
      <c r="AW3" s="81" t="n"/>
      <c r="AX3" s="81" t="n"/>
      <c r="AY3" s="81" t="n"/>
      <c r="AZ3" s="81" t="n"/>
      <c r="BA3" s="81" t="n"/>
      <c r="BB3" s="81" t="n"/>
      <c r="BC3" s="81" t="n"/>
      <c r="BD3" s="81" t="n"/>
      <c r="BE3" s="81" t="n"/>
      <c r="BF3" s="81" t="n"/>
      <c r="BG3" s="81" t="n"/>
      <c r="BH3" s="81" t="n"/>
      <c r="BI3" s="81" t="n"/>
      <c r="BJ3" s="81" t="n"/>
      <c r="BK3" s="81" t="n"/>
      <c r="BL3" s="81" t="n"/>
      <c r="BM3" s="81" t="n"/>
      <c r="BN3" s="81" t="n"/>
      <c r="BO3" s="81" t="n"/>
      <c r="BP3" s="81" t="n"/>
      <c r="BQ3" s="81" t="n"/>
      <c r="BR3" s="81" t="n"/>
      <c r="BS3" s="81" t="n"/>
      <c r="BT3" s="81" t="n"/>
      <c r="BU3" s="81" t="n"/>
      <c r="BV3" s="81" t="n"/>
      <c r="BW3" s="81" t="n"/>
      <c r="BX3" s="81" t="n"/>
      <c r="BY3" s="81" t="n"/>
      <c r="BZ3" s="81" t="n"/>
      <c r="CA3" s="81" t="n"/>
      <c r="CB3" s="81" t="n"/>
      <c r="CC3" s="81" t="n"/>
      <c r="CD3" s="81" t="n"/>
    </row>
    <row r="4">
      <c r="A4" s="83" t="n"/>
      <c r="B4" s="137" t="inlineStr">
        <is>
          <t>Table 15: Air quality activity costs from primary fuel use, 2022 p/kWh</t>
        </is>
      </c>
      <c r="C4" s="169" t="n"/>
      <c r="D4" s="169" t="n"/>
      <c r="E4" s="169" t="n"/>
      <c r="F4" s="169" t="n"/>
      <c r="G4" s="169" t="n"/>
      <c r="H4" s="169" t="n"/>
      <c r="I4" s="169" t="n"/>
      <c r="J4" s="169" t="n"/>
      <c r="K4" s="169" t="n"/>
      <c r="L4" s="169" t="n"/>
      <c r="M4" s="169" t="n"/>
      <c r="N4" s="169" t="n"/>
      <c r="O4" s="169" t="n"/>
      <c r="P4" s="169" t="n"/>
      <c r="Q4" s="169" t="n"/>
      <c r="R4" s="169" t="n"/>
      <c r="S4" s="169" t="n"/>
      <c r="T4" s="169" t="n"/>
      <c r="U4" s="169" t="n"/>
      <c r="V4" s="169" t="n"/>
      <c r="W4" s="169" t="n"/>
      <c r="X4" s="169" t="n"/>
      <c r="Y4" s="169" t="n"/>
      <c r="Z4" s="169" t="n"/>
      <c r="AA4" s="169" t="n"/>
      <c r="AB4" s="169" t="n"/>
      <c r="AC4" s="169" t="n"/>
      <c r="AD4" s="169" t="n"/>
      <c r="AE4" s="169" t="n"/>
      <c r="AF4" s="169" t="n"/>
      <c r="AG4" s="169" t="n"/>
      <c r="AH4" s="169" t="n"/>
      <c r="AI4" s="169" t="n"/>
      <c r="AJ4" s="169" t="n"/>
      <c r="AK4" s="169" t="n"/>
      <c r="AL4" s="169" t="n"/>
      <c r="AM4" s="169" t="n"/>
      <c r="AN4" s="169" t="n"/>
      <c r="AO4" s="169" t="n"/>
      <c r="AP4" s="169" t="n"/>
      <c r="AQ4" s="169" t="n"/>
      <c r="AR4" s="169" t="n"/>
      <c r="AS4" s="169" t="n"/>
      <c r="AT4" s="169" t="n"/>
      <c r="AU4" s="169" t="n"/>
      <c r="AV4" s="169" t="n"/>
      <c r="AW4" s="169" t="n"/>
      <c r="AX4" s="169" t="n"/>
      <c r="AY4" s="169" t="n"/>
      <c r="AZ4" s="169" t="n"/>
      <c r="BA4" s="169" t="n"/>
      <c r="BB4" s="169" t="n"/>
      <c r="BC4" s="169" t="n"/>
      <c r="BD4" s="169" t="n"/>
      <c r="BE4" s="169" t="n"/>
      <c r="BF4" s="169" t="n"/>
      <c r="BG4" s="169" t="n"/>
      <c r="BH4" s="169" t="n"/>
      <c r="BI4" s="169" t="n"/>
      <c r="BJ4" s="169" t="n"/>
      <c r="BK4" s="169" t="n"/>
      <c r="BL4" s="169" t="n"/>
      <c r="BM4" s="169" t="n"/>
      <c r="BN4" s="169" t="n"/>
      <c r="BO4" s="169" t="n"/>
      <c r="BP4" s="169" t="n"/>
      <c r="BQ4" s="169" t="n"/>
      <c r="BR4" s="169" t="n"/>
      <c r="BS4" s="169" t="n"/>
      <c r="BT4" s="169" t="n"/>
      <c r="BU4" s="169" t="n"/>
      <c r="BV4" s="169" t="n"/>
      <c r="BW4" s="169" t="n"/>
      <c r="BX4" s="169" t="n"/>
      <c r="BY4" s="169" t="n"/>
      <c r="BZ4" s="169" t="n"/>
      <c r="CA4" s="169" t="n"/>
      <c r="CB4" s="169" t="n"/>
      <c r="CC4" s="169" t="n"/>
      <c r="CD4" s="169" t="n"/>
    </row>
    <row r="5">
      <c r="A5" s="83" t="n"/>
      <c r="B5" s="169" t="n"/>
      <c r="C5" s="169" t="n"/>
      <c r="D5" s="169" t="n"/>
      <c r="E5" s="169" t="n"/>
      <c r="F5" s="169" t="n"/>
      <c r="G5" s="169" t="n"/>
      <c r="H5" s="169" t="n"/>
      <c r="I5" s="169" t="n"/>
      <c r="J5" s="169" t="n"/>
      <c r="K5" s="169" t="n"/>
      <c r="L5" s="169" t="n"/>
      <c r="M5" s="169" t="n"/>
      <c r="N5" s="169" t="n"/>
      <c r="O5" s="169" t="n"/>
      <c r="P5" s="169" t="n"/>
      <c r="Q5" s="169" t="n"/>
      <c r="R5" s="169" t="n"/>
      <c r="S5" s="169" t="n"/>
      <c r="T5" s="169" t="n"/>
      <c r="U5" s="169" t="n"/>
      <c r="V5" s="169" t="n"/>
      <c r="W5" s="169" t="n"/>
      <c r="X5" s="169" t="n"/>
      <c r="Y5" s="169" t="n"/>
      <c r="Z5" s="169" t="n"/>
      <c r="AA5" s="169" t="n"/>
      <c r="AB5" s="169" t="n"/>
      <c r="AC5" s="169" t="n"/>
      <c r="AD5" s="169" t="n"/>
      <c r="AE5" s="169" t="n"/>
      <c r="AF5" s="169" t="n"/>
      <c r="AG5" s="169" t="n"/>
      <c r="AH5" s="169" t="n"/>
      <c r="AI5" s="169" t="n"/>
      <c r="AJ5" s="169" t="n"/>
      <c r="AK5" s="169" t="n"/>
      <c r="AL5" s="169" t="n"/>
      <c r="AM5" s="169" t="n"/>
      <c r="AN5" s="169" t="n"/>
      <c r="AO5" s="169" t="n"/>
      <c r="AP5" s="169" t="n"/>
      <c r="AQ5" s="169" t="n"/>
      <c r="AR5" s="169" t="n"/>
      <c r="AS5" s="169" t="n"/>
      <c r="AT5" s="169" t="n"/>
      <c r="AU5" s="169" t="n"/>
      <c r="AV5" s="169" t="n"/>
      <c r="AW5" s="169" t="n"/>
      <c r="AX5" s="169" t="n"/>
      <c r="AY5" s="169" t="n"/>
      <c r="AZ5" s="169" t="n"/>
      <c r="BA5" s="169" t="n"/>
      <c r="BB5" s="169" t="n"/>
      <c r="BC5" s="169" t="n"/>
      <c r="BD5" s="169" t="n"/>
      <c r="BE5" s="169" t="n"/>
      <c r="BF5" s="169" t="n"/>
      <c r="BG5" s="169" t="n"/>
      <c r="BH5" s="169" t="n"/>
      <c r="BI5" s="169" t="n"/>
      <c r="BJ5" s="169" t="n"/>
      <c r="BK5" s="169" t="n"/>
      <c r="BL5" s="169" t="n"/>
      <c r="BM5" s="169" t="n"/>
      <c r="BN5" s="169" t="n"/>
      <c r="BO5" s="169" t="n"/>
      <c r="BP5" s="169" t="n"/>
      <c r="BQ5" s="169" t="n"/>
      <c r="BR5" s="169" t="n"/>
      <c r="BS5" s="169" t="n"/>
      <c r="BT5" s="169" t="n"/>
      <c r="BU5" s="169" t="n"/>
      <c r="BV5" s="169" t="n"/>
      <c r="BW5" s="169" t="n"/>
      <c r="BX5" s="169" t="n"/>
      <c r="BY5" s="169" t="n"/>
      <c r="BZ5" s="169" t="n"/>
      <c r="CA5" s="169" t="n"/>
      <c r="CB5" s="169" t="n"/>
      <c r="CC5" s="169" t="n"/>
      <c r="CD5" s="169" t="n"/>
    </row>
    <row r="6">
      <c r="A6" s="83" t="n"/>
      <c r="B6" s="170" t="inlineStr">
        <is>
          <t>These are new air quality values based on the 2019 NAEI data. For use in appraisals these values should be discounted using the HMT Green Book health discount rate of 1.5%, to be consistent with interdepartmental guidance. The use of the lower health discount rate, compared to the standard 3.5% discount rate, is to reflect increases in willingness to pay for avoided health outcomes over time.</t>
        </is>
      </c>
      <c r="C6" s="307" t="n"/>
      <c r="D6" s="307" t="n"/>
      <c r="E6" s="307" t="n"/>
      <c r="F6" s="307" t="n"/>
      <c r="G6" s="307" t="n"/>
      <c r="H6" s="307" t="n"/>
      <c r="I6" s="307" t="n"/>
      <c r="J6" s="307" t="n"/>
      <c r="K6" s="307" t="n"/>
      <c r="L6" s="308" t="n"/>
      <c r="M6" s="169" t="n"/>
      <c r="N6" s="169" t="n"/>
      <c r="O6" s="169" t="n"/>
      <c r="P6" s="169" t="n"/>
      <c r="Q6" s="169" t="n"/>
      <c r="R6" s="169" t="n"/>
      <c r="S6" s="169" t="n"/>
      <c r="T6" s="169" t="n"/>
      <c r="U6" s="169" t="n"/>
      <c r="V6" s="169" t="n"/>
      <c r="W6" s="169" t="n"/>
      <c r="X6" s="169" t="n"/>
      <c r="Y6" s="169" t="n"/>
      <c r="Z6" s="169" t="n"/>
      <c r="AA6" s="169" t="n"/>
      <c r="AB6" s="169" t="n"/>
      <c r="AC6" s="169" t="n"/>
      <c r="AD6" s="169" t="n"/>
      <c r="AE6" s="169" t="n"/>
      <c r="AF6" s="169" t="n"/>
      <c r="AG6" s="169" t="n"/>
      <c r="AH6" s="169" t="n"/>
      <c r="AI6" s="169" t="n"/>
      <c r="AJ6" s="169" t="n"/>
      <c r="AK6" s="169" t="n"/>
      <c r="AL6" s="169" t="n"/>
      <c r="AM6" s="169" t="n"/>
      <c r="AN6" s="169" t="n"/>
      <c r="AO6" s="169" t="n"/>
      <c r="AP6" s="169" t="n"/>
      <c r="AQ6" s="169" t="n"/>
      <c r="AR6" s="169" t="n"/>
      <c r="AS6" s="169" t="n"/>
      <c r="AT6" s="169" t="n"/>
      <c r="AU6" s="169" t="n"/>
      <c r="AV6" s="169" t="n"/>
      <c r="AW6" s="169" t="n"/>
      <c r="AX6" s="169" t="n"/>
      <c r="AY6" s="169" t="n"/>
      <c r="AZ6" s="169" t="n"/>
      <c r="BA6" s="169" t="n"/>
      <c r="BB6" s="169" t="n"/>
      <c r="BC6" s="169" t="n"/>
      <c r="BD6" s="169" t="n"/>
      <c r="BE6" s="169" t="n"/>
      <c r="BF6" s="169" t="n"/>
      <c r="BG6" s="169" t="n"/>
      <c r="BH6" s="169" t="n"/>
      <c r="BI6" s="169" t="n"/>
      <c r="BJ6" s="169" t="n"/>
      <c r="BK6" s="169" t="n"/>
      <c r="BL6" s="169" t="n"/>
      <c r="BM6" s="169" t="n"/>
      <c r="BN6" s="169" t="n"/>
      <c r="BO6" s="169" t="n"/>
      <c r="BP6" s="169" t="n"/>
      <c r="BQ6" s="169" t="n"/>
      <c r="BR6" s="169" t="n"/>
      <c r="BS6" s="169" t="n"/>
      <c r="BT6" s="169" t="n"/>
      <c r="BU6" s="169" t="n"/>
      <c r="BV6" s="169" t="n"/>
      <c r="BW6" s="169" t="n"/>
      <c r="BX6" s="169" t="n"/>
      <c r="BY6" s="169" t="n"/>
      <c r="BZ6" s="169" t="n"/>
      <c r="CA6" s="169" t="n"/>
      <c r="CB6" s="169" t="n"/>
      <c r="CC6" s="169" t="n"/>
      <c r="CD6" s="169" t="n"/>
    </row>
    <row r="7">
      <c r="A7" s="83" t="n"/>
      <c r="B7" s="309" t="n"/>
      <c r="C7" s="310" t="n"/>
      <c r="D7" s="310" t="n"/>
      <c r="E7" s="310" t="n"/>
      <c r="F7" s="310" t="n"/>
      <c r="G7" s="310" t="n"/>
      <c r="H7" s="310" t="n"/>
      <c r="I7" s="310" t="n"/>
      <c r="J7" s="310" t="n"/>
      <c r="K7" s="310" t="n"/>
      <c r="L7" s="311" t="n"/>
      <c r="M7" s="169" t="n"/>
      <c r="N7" s="169" t="n"/>
      <c r="O7" s="169" t="n"/>
      <c r="P7" s="169" t="n"/>
      <c r="Q7" s="169" t="n"/>
      <c r="R7" s="169" t="n"/>
      <c r="S7" s="169" t="n"/>
      <c r="T7" s="169" t="n"/>
      <c r="U7" s="169" t="n"/>
      <c r="V7" s="169" t="n"/>
      <c r="W7" s="169" t="n"/>
      <c r="X7" s="169" t="n"/>
      <c r="Y7" s="169" t="n"/>
      <c r="Z7" s="169" t="n"/>
      <c r="AA7" s="169" t="n"/>
      <c r="AB7" s="169" t="n"/>
      <c r="AC7" s="169" t="n"/>
      <c r="AD7" s="169" t="n"/>
      <c r="AE7" s="169" t="n"/>
      <c r="AF7" s="169" t="n"/>
      <c r="AG7" s="169" t="n"/>
      <c r="AH7" s="169" t="n"/>
      <c r="AI7" s="169" t="n"/>
      <c r="AJ7" s="169" t="n"/>
      <c r="AK7" s="169" t="n"/>
      <c r="AL7" s="169" t="n"/>
      <c r="AM7" s="169" t="n"/>
      <c r="AN7" s="169" t="n"/>
      <c r="AO7" s="169" t="n"/>
      <c r="AP7" s="169" t="n"/>
      <c r="AQ7" s="169" t="n"/>
      <c r="AR7" s="169" t="n"/>
      <c r="AS7" s="169" t="n"/>
      <c r="AT7" s="169" t="n"/>
      <c r="AU7" s="169" t="n"/>
      <c r="AV7" s="169" t="n"/>
      <c r="AW7" s="169" t="n"/>
      <c r="AX7" s="169" t="n"/>
      <c r="AY7" s="169" t="n"/>
      <c r="AZ7" s="169" t="n"/>
      <c r="BA7" s="169" t="n"/>
      <c r="BB7" s="169" t="n"/>
      <c r="BC7" s="169" t="n"/>
      <c r="BD7" s="169" t="n"/>
      <c r="BE7" s="169" t="n"/>
      <c r="BF7" s="169" t="n"/>
      <c r="BG7" s="169" t="n"/>
      <c r="BH7" s="169" t="n"/>
      <c r="BI7" s="169" t="n"/>
      <c r="BJ7" s="169" t="n"/>
      <c r="BK7" s="169" t="n"/>
      <c r="BL7" s="169" t="n"/>
      <c r="BM7" s="169" t="n"/>
      <c r="BN7" s="169" t="n"/>
      <c r="BO7" s="169" t="n"/>
      <c r="BP7" s="169" t="n"/>
      <c r="BQ7" s="169" t="n"/>
      <c r="BR7" s="169" t="n"/>
      <c r="BS7" s="169" t="n"/>
      <c r="BT7" s="169" t="n"/>
      <c r="BU7" s="169" t="n"/>
      <c r="BV7" s="169" t="n"/>
      <c r="BW7" s="169" t="n"/>
      <c r="BX7" s="169" t="n"/>
      <c r="BY7" s="169" t="n"/>
      <c r="BZ7" s="169" t="n"/>
      <c r="CA7" s="169" t="n"/>
      <c r="CB7" s="169" t="n"/>
      <c r="CC7" s="169" t="n"/>
      <c r="CD7" s="169" t="n"/>
    </row>
    <row r="8">
      <c r="A8" s="83" t="n"/>
      <c r="B8" s="170" t="inlineStr">
        <is>
          <t>The updated activity costs take into account an improved understanding of health impacts, based on the latest advice from UK Health Security Agency (UKHSA) and the Committee on the Medical Effects of Air Pollution (COMEAP). For further information on the methodology, please see https://www.gov.uk/government/publications/air-quality-impact-pathway-guidance. To note, there are some categories in Table 15 which do not have any values, denoted as N/A, because the NAEI doesn’t have any emission values for those categories.</t>
        </is>
      </c>
      <c r="C8" s="307" t="n"/>
      <c r="D8" s="307" t="n"/>
      <c r="E8" s="307" t="n"/>
      <c r="F8" s="307" t="n"/>
      <c r="G8" s="307" t="n"/>
      <c r="H8" s="307" t="n"/>
      <c r="I8" s="307" t="n"/>
      <c r="J8" s="307" t="n"/>
      <c r="K8" s="307" t="n"/>
      <c r="L8" s="308" t="n"/>
      <c r="M8" s="169" t="n"/>
      <c r="N8" s="169" t="n"/>
      <c r="O8" s="169" t="n"/>
      <c r="P8" s="169" t="n"/>
      <c r="Q8" s="169" t="n"/>
      <c r="R8" s="169" t="n"/>
      <c r="S8" s="169" t="n"/>
      <c r="T8" s="169" t="n"/>
      <c r="U8" s="169" t="n"/>
      <c r="V8" s="169" t="n"/>
      <c r="W8" s="169" t="n"/>
      <c r="X8" s="169" t="n"/>
      <c r="Y8" s="169" t="n"/>
      <c r="Z8" s="169" t="n"/>
      <c r="AA8" s="169" t="n"/>
      <c r="AB8" s="169" t="n"/>
      <c r="AC8" s="169" t="n"/>
      <c r="AD8" s="169" t="n"/>
      <c r="AE8" s="169" t="n"/>
      <c r="AF8" s="169" t="n"/>
      <c r="AG8" s="169" t="n"/>
      <c r="AH8" s="169" t="n"/>
      <c r="AI8" s="169" t="n"/>
      <c r="AJ8" s="169" t="n"/>
      <c r="AK8" s="169" t="n"/>
      <c r="AL8" s="169" t="n"/>
      <c r="AM8" s="169" t="n"/>
      <c r="AN8" s="169" t="n"/>
      <c r="AO8" s="169" t="n"/>
      <c r="AP8" s="169" t="n"/>
      <c r="AQ8" s="169" t="n"/>
      <c r="AR8" s="169" t="n"/>
      <c r="AS8" s="169" t="n"/>
      <c r="AT8" s="169" t="n"/>
      <c r="AU8" s="169" t="n"/>
      <c r="AV8" s="169" t="n"/>
      <c r="AW8" s="169" t="n"/>
      <c r="AX8" s="169" t="n"/>
      <c r="AY8" s="169" t="n"/>
      <c r="AZ8" s="169" t="n"/>
      <c r="BA8" s="169" t="n"/>
      <c r="BB8" s="169" t="n"/>
      <c r="BC8" s="169" t="n"/>
      <c r="BD8" s="169" t="n"/>
      <c r="BE8" s="169" t="n"/>
      <c r="BF8" s="169" t="n"/>
      <c r="BG8" s="169" t="n"/>
      <c r="BH8" s="169" t="n"/>
      <c r="BI8" s="169" t="n"/>
      <c r="BJ8" s="169" t="n"/>
      <c r="BK8" s="169" t="n"/>
      <c r="BL8" s="169" t="n"/>
      <c r="BM8" s="169" t="n"/>
      <c r="BN8" s="169" t="n"/>
      <c r="BO8" s="169" t="n"/>
      <c r="BP8" s="169" t="n"/>
      <c r="BQ8" s="169" t="n"/>
      <c r="BR8" s="169" t="n"/>
      <c r="BS8" s="169" t="n"/>
      <c r="BT8" s="169" t="n"/>
      <c r="BU8" s="169" t="n"/>
      <c r="BV8" s="169" t="n"/>
      <c r="BW8" s="169" t="n"/>
      <c r="BX8" s="169" t="n"/>
      <c r="BY8" s="169" t="n"/>
      <c r="BZ8" s="169" t="n"/>
      <c r="CA8" s="169" t="n"/>
      <c r="CB8" s="169" t="n"/>
      <c r="CC8" s="169" t="n"/>
      <c r="CD8" s="169" t="n"/>
    </row>
    <row r="9">
      <c r="A9" s="83" t="n"/>
      <c r="B9" s="309" t="n"/>
      <c r="C9" s="310" t="n"/>
      <c r="D9" s="310" t="n"/>
      <c r="E9" s="310" t="n"/>
      <c r="F9" s="310" t="n"/>
      <c r="G9" s="310" t="n"/>
      <c r="H9" s="310" t="n"/>
      <c r="I9" s="310" t="n"/>
      <c r="J9" s="310" t="n"/>
      <c r="K9" s="310" t="n"/>
      <c r="L9" s="311" t="n"/>
      <c r="M9" s="169" t="n"/>
      <c r="N9" s="169" t="n"/>
      <c r="O9" s="169" t="n"/>
      <c r="P9" s="169" t="n"/>
      <c r="Q9" s="169" t="n"/>
      <c r="R9" s="169" t="n"/>
      <c r="S9" s="169" t="n"/>
      <c r="T9" s="169" t="n"/>
      <c r="U9" s="169" t="n"/>
      <c r="V9" s="169" t="n"/>
      <c r="W9" s="169" t="n"/>
      <c r="X9" s="169" t="n"/>
      <c r="Y9" s="169" t="n"/>
      <c r="Z9" s="169" t="n"/>
      <c r="AA9" s="169" t="n"/>
      <c r="AB9" s="169" t="n"/>
      <c r="AC9" s="169" t="n"/>
      <c r="AD9" s="169" t="n"/>
      <c r="AE9" s="169" t="n"/>
      <c r="AF9" s="169" t="n"/>
      <c r="AG9" s="169" t="n"/>
      <c r="AH9" s="169" t="n"/>
      <c r="AI9" s="169" t="n"/>
      <c r="AJ9" s="169" t="n"/>
      <c r="AK9" s="169" t="n"/>
      <c r="AL9" s="169" t="n"/>
      <c r="AM9" s="169" t="n"/>
      <c r="AN9" s="169" t="n"/>
      <c r="AO9" s="169" t="n"/>
      <c r="AP9" s="169" t="n"/>
      <c r="AQ9" s="169" t="n"/>
      <c r="AR9" s="169" t="n"/>
      <c r="AS9" s="169" t="n"/>
      <c r="AT9" s="169" t="n"/>
      <c r="AU9" s="169" t="n"/>
      <c r="AV9" s="169" t="n"/>
      <c r="AW9" s="169" t="n"/>
      <c r="AX9" s="169" t="n"/>
      <c r="AY9" s="169" t="n"/>
      <c r="AZ9" s="169" t="n"/>
      <c r="BA9" s="169" t="n"/>
      <c r="BB9" s="169" t="n"/>
      <c r="BC9" s="169" t="n"/>
      <c r="BD9" s="169" t="n"/>
      <c r="BE9" s="169" t="n"/>
      <c r="BF9" s="169" t="n"/>
      <c r="BG9" s="169" t="n"/>
      <c r="BH9" s="169" t="n"/>
      <c r="BI9" s="169" t="n"/>
      <c r="BJ9" s="169" t="n"/>
      <c r="BK9" s="169" t="n"/>
      <c r="BL9" s="169" t="n"/>
      <c r="BM9" s="169" t="n"/>
      <c r="BN9" s="169" t="n"/>
      <c r="BO9" s="169" t="n"/>
      <c r="BP9" s="169" t="n"/>
      <c r="BQ9" s="169" t="n"/>
      <c r="BR9" s="169" t="n"/>
      <c r="BS9" s="169" t="n"/>
      <c r="BT9" s="169" t="n"/>
      <c r="BU9" s="169" t="n"/>
      <c r="BV9" s="169" t="n"/>
      <c r="BW9" s="169" t="n"/>
      <c r="BX9" s="169" t="n"/>
      <c r="BY9" s="169" t="n"/>
      <c r="BZ9" s="169" t="n"/>
      <c r="CA9" s="169" t="n"/>
      <c r="CB9" s="169" t="n"/>
      <c r="CC9" s="169" t="n"/>
      <c r="CD9" s="169" t="n"/>
    </row>
    <row r="10">
      <c r="A10" s="83" t="n"/>
      <c r="B10" s="169" t="n"/>
      <c r="C10" s="169" t="n"/>
      <c r="D10" s="169" t="n"/>
      <c r="E10" s="169" t="n"/>
      <c r="F10" s="169" t="n"/>
      <c r="G10" s="169" t="n"/>
      <c r="H10" s="169" t="n"/>
      <c r="I10" s="169" t="n"/>
      <c r="J10" s="169" t="n"/>
      <c r="K10" s="285" t="n"/>
      <c r="L10" s="286" t="n"/>
      <c r="M10" s="169" t="n"/>
      <c r="N10" s="169" t="n"/>
      <c r="O10" s="169" t="n"/>
      <c r="P10" s="169" t="n"/>
      <c r="Q10" s="169" t="n"/>
      <c r="R10" s="169" t="n"/>
      <c r="S10" s="169" t="n"/>
      <c r="T10" s="169" t="n"/>
      <c r="U10" s="169" t="n"/>
      <c r="V10" s="169" t="n"/>
      <c r="W10" s="169" t="n"/>
      <c r="X10" s="169" t="n"/>
      <c r="Y10" s="169" t="n"/>
      <c r="Z10" s="169" t="n"/>
      <c r="AA10" s="169" t="n"/>
      <c r="AB10" s="169" t="n"/>
      <c r="AC10" s="169" t="n"/>
      <c r="AD10" s="169" t="n"/>
      <c r="AE10" s="169" t="n"/>
      <c r="AF10" s="169" t="n"/>
      <c r="AG10" s="169" t="n"/>
      <c r="AH10" s="169" t="n"/>
      <c r="AI10" s="169" t="n"/>
      <c r="AJ10" s="169" t="n"/>
      <c r="AK10" s="169" t="n"/>
      <c r="AL10" s="169" t="n"/>
      <c r="AM10" s="169" t="n"/>
      <c r="AN10" s="169" t="n"/>
      <c r="AO10" s="169" t="n"/>
      <c r="AP10" s="169" t="n"/>
      <c r="AQ10" s="169" t="n"/>
      <c r="AR10" s="169" t="n"/>
      <c r="AS10" s="169" t="n"/>
      <c r="AT10" s="169" t="n"/>
      <c r="AU10" s="169" t="n"/>
      <c r="AV10" s="169" t="n"/>
      <c r="AW10" s="169" t="n"/>
      <c r="AX10" s="169" t="n"/>
      <c r="AY10" s="169" t="n"/>
      <c r="AZ10" s="169" t="n"/>
      <c r="BA10" s="169" t="n"/>
      <c r="BB10" s="169" t="n"/>
      <c r="BC10" s="169" t="n"/>
      <c r="BD10" s="169" t="n"/>
      <c r="BE10" s="169" t="n"/>
      <c r="BF10" s="169" t="n"/>
      <c r="BG10" s="169" t="n"/>
      <c r="BH10" s="169" t="n"/>
      <c r="BI10" s="169" t="n"/>
      <c r="BJ10" s="169" t="n"/>
      <c r="BK10" s="169" t="n"/>
      <c r="BL10" s="169" t="n"/>
      <c r="BM10" s="169" t="n"/>
      <c r="BN10" s="169" t="n"/>
      <c r="BO10" s="169" t="n"/>
      <c r="BP10" s="169" t="n"/>
      <c r="BQ10" s="169" t="n"/>
      <c r="BR10" s="169" t="n"/>
      <c r="BS10" s="169" t="n"/>
      <c r="BT10" s="169" t="n"/>
      <c r="BU10" s="169" t="n"/>
      <c r="BV10" s="169" t="n"/>
      <c r="BW10" s="169" t="n"/>
      <c r="BX10" s="169" t="n"/>
      <c r="BY10" s="169" t="n"/>
      <c r="BZ10" s="169" t="n"/>
      <c r="CA10" s="169" t="n"/>
      <c r="CB10" s="169" t="n"/>
      <c r="CC10" s="169" t="n"/>
      <c r="CD10" s="169" t="n"/>
    </row>
    <row r="11">
      <c r="A11" s="83" t="n"/>
      <c r="B11" s="169" t="n"/>
      <c r="C11" s="169" t="n"/>
      <c r="D11" s="222" t="n">
        <v>2023</v>
      </c>
      <c r="E11" s="223" t="n">
        <v>2024</v>
      </c>
      <c r="F11" s="223" t="n">
        <v>2025</v>
      </c>
      <c r="G11" s="223" t="n">
        <v>2026</v>
      </c>
      <c r="H11" s="223" t="n">
        <v>2027</v>
      </c>
      <c r="I11" s="223" t="n">
        <v>2028</v>
      </c>
      <c r="J11" s="223" t="n">
        <v>2029</v>
      </c>
      <c r="K11" s="223" t="n">
        <v>2030</v>
      </c>
      <c r="L11" s="223" t="n">
        <v>2031</v>
      </c>
      <c r="M11" s="223" t="n">
        <v>2032</v>
      </c>
      <c r="N11" s="223" t="n">
        <v>2033</v>
      </c>
      <c r="O11" s="223" t="n">
        <v>2034</v>
      </c>
      <c r="P11" s="223" t="n">
        <v>2035</v>
      </c>
      <c r="Q11" s="223" t="n">
        <v>2036</v>
      </c>
      <c r="R11" s="223" t="n">
        <v>2037</v>
      </c>
      <c r="S11" s="223" t="n">
        <v>2038</v>
      </c>
      <c r="T11" s="223" t="n">
        <v>2039</v>
      </c>
      <c r="U11" s="223" t="n">
        <v>2040</v>
      </c>
      <c r="V11" s="223" t="n">
        <v>2041</v>
      </c>
      <c r="W11" s="223" t="n">
        <v>2042</v>
      </c>
      <c r="X11" s="223" t="n">
        <v>2043</v>
      </c>
      <c r="Y11" s="223" t="n">
        <v>2044</v>
      </c>
      <c r="Z11" s="223" t="n">
        <v>2045</v>
      </c>
      <c r="AA11" s="223" t="n">
        <v>2046</v>
      </c>
      <c r="AB11" s="223" t="n">
        <v>2047</v>
      </c>
      <c r="AC11" s="223" t="n">
        <v>2048</v>
      </c>
      <c r="AD11" s="223" t="n">
        <v>2049</v>
      </c>
      <c r="AE11" s="223" t="n">
        <v>2050</v>
      </c>
      <c r="AF11" s="223" t="n">
        <v>2051</v>
      </c>
      <c r="AG11" s="223" t="n">
        <v>2052</v>
      </c>
      <c r="AH11" s="223" t="n">
        <v>2053</v>
      </c>
      <c r="AI11" s="223" t="n">
        <v>2054</v>
      </c>
      <c r="AJ11" s="223" t="n">
        <v>2055</v>
      </c>
      <c r="AK11" s="223" t="n">
        <v>2056</v>
      </c>
      <c r="AL11" s="223" t="n">
        <v>2057</v>
      </c>
      <c r="AM11" s="223" t="n">
        <v>2058</v>
      </c>
      <c r="AN11" s="223" t="n">
        <v>2059</v>
      </c>
      <c r="AO11" s="223" t="n">
        <v>2060</v>
      </c>
      <c r="AP11" s="223" t="n">
        <v>2061</v>
      </c>
      <c r="AQ11" s="223" t="n">
        <v>2062</v>
      </c>
      <c r="AR11" s="223" t="n">
        <v>2063</v>
      </c>
      <c r="AS11" s="223" t="n">
        <v>2064</v>
      </c>
      <c r="AT11" s="223" t="n">
        <v>2065</v>
      </c>
      <c r="AU11" s="223" t="n">
        <v>2066</v>
      </c>
      <c r="AV11" s="223" t="n">
        <v>2067</v>
      </c>
      <c r="AW11" s="223" t="n">
        <v>2068</v>
      </c>
      <c r="AX11" s="223" t="n">
        <v>2069</v>
      </c>
      <c r="AY11" s="223" t="n">
        <v>2070</v>
      </c>
      <c r="AZ11" s="223" t="n">
        <v>2071</v>
      </c>
      <c r="BA11" s="223" t="n">
        <v>2072</v>
      </c>
      <c r="BB11" s="223" t="n">
        <v>2073</v>
      </c>
      <c r="BC11" s="223" t="n">
        <v>2074</v>
      </c>
      <c r="BD11" s="223" t="n">
        <v>2075</v>
      </c>
      <c r="BE11" s="223" t="n">
        <v>2076</v>
      </c>
      <c r="BF11" s="223" t="n">
        <v>2077</v>
      </c>
      <c r="BG11" s="223" t="n">
        <v>2078</v>
      </c>
      <c r="BH11" s="223" t="n">
        <v>2079</v>
      </c>
      <c r="BI11" s="223" t="n">
        <v>2080</v>
      </c>
      <c r="BJ11" s="223" t="n">
        <v>2081</v>
      </c>
      <c r="BK11" s="223" t="n">
        <v>2082</v>
      </c>
      <c r="BL11" s="223" t="n">
        <v>2083</v>
      </c>
      <c r="BM11" s="223" t="n">
        <v>2084</v>
      </c>
      <c r="BN11" s="223" t="n">
        <v>2085</v>
      </c>
      <c r="BO11" s="223" t="n">
        <v>2086</v>
      </c>
      <c r="BP11" s="223" t="n">
        <v>2087</v>
      </c>
      <c r="BQ11" s="223" t="n">
        <v>2088</v>
      </c>
      <c r="BR11" s="223" t="n">
        <v>2089</v>
      </c>
      <c r="BS11" s="223" t="n">
        <v>2090</v>
      </c>
      <c r="BT11" s="223" t="n">
        <v>2091</v>
      </c>
      <c r="BU11" s="223" t="n">
        <v>2092</v>
      </c>
      <c r="BV11" s="223" t="n">
        <v>2093</v>
      </c>
      <c r="BW11" s="223" t="n">
        <v>2094</v>
      </c>
      <c r="BX11" s="223" t="n">
        <v>2095</v>
      </c>
      <c r="BY11" s="223" t="n">
        <v>2096</v>
      </c>
      <c r="BZ11" s="223" t="n">
        <v>2097</v>
      </c>
      <c r="CA11" s="223" t="n">
        <v>2098</v>
      </c>
      <c r="CB11" s="223" t="n">
        <v>2099</v>
      </c>
      <c r="CC11" s="223" t="n">
        <v>2100</v>
      </c>
      <c r="CD11" s="169" t="n"/>
    </row>
    <row r="12">
      <c r="A12" s="83" t="n"/>
      <c r="B12" s="224" t="inlineStr">
        <is>
          <t>NATIONAL AVERAGE</t>
        </is>
      </c>
      <c r="C12" s="225" t="n"/>
      <c r="D12" s="169" t="n"/>
      <c r="E12" s="169" t="n"/>
      <c r="F12" s="169" t="n"/>
      <c r="G12" s="169" t="n"/>
      <c r="H12" s="169" t="n"/>
      <c r="I12" s="169" t="n"/>
      <c r="J12" s="169" t="n"/>
      <c r="K12" s="169" t="n"/>
      <c r="L12" s="169" t="n"/>
      <c r="M12" s="169" t="n"/>
      <c r="N12" s="169" t="n"/>
      <c r="O12" s="169" t="n"/>
      <c r="P12" s="169" t="n"/>
      <c r="Q12" s="169" t="n"/>
      <c r="R12" s="169" t="n"/>
      <c r="S12" s="169" t="n"/>
      <c r="T12" s="169" t="n"/>
      <c r="U12" s="169" t="n"/>
      <c r="V12" s="169" t="n"/>
      <c r="W12" s="169" t="n"/>
      <c r="X12" s="169" t="n"/>
      <c r="Y12" s="169" t="n"/>
      <c r="Z12" s="169" t="n"/>
      <c r="AA12" s="169" t="n"/>
      <c r="AB12" s="169" t="n"/>
      <c r="AC12" s="169" t="n"/>
      <c r="AD12" s="169" t="n"/>
      <c r="AE12" s="169" t="n"/>
      <c r="AF12" s="169" t="n"/>
      <c r="AG12" s="169" t="n"/>
      <c r="AH12" s="169" t="n"/>
      <c r="AI12" s="169" t="n"/>
      <c r="AJ12" s="169" t="n"/>
      <c r="AK12" s="169" t="n"/>
      <c r="AL12" s="169" t="n"/>
      <c r="AM12" s="169" t="n"/>
      <c r="AN12" s="169" t="n"/>
      <c r="AO12" s="169" t="n"/>
      <c r="AP12" s="169" t="n"/>
      <c r="AQ12" s="169" t="n"/>
      <c r="AR12" s="169" t="n"/>
      <c r="AS12" s="169" t="n"/>
      <c r="AT12" s="169" t="n"/>
      <c r="AU12" s="169" t="n"/>
      <c r="AV12" s="169" t="n"/>
      <c r="AW12" s="169" t="n"/>
      <c r="AX12" s="169" t="n"/>
      <c r="AY12" s="169" t="n"/>
      <c r="AZ12" s="169" t="n"/>
      <c r="BA12" s="169" t="n"/>
      <c r="BB12" s="169" t="n"/>
      <c r="BC12" s="169" t="n"/>
      <c r="BD12" s="169" t="n"/>
      <c r="BE12" s="169" t="n"/>
      <c r="BF12" s="169" t="n"/>
      <c r="BG12" s="169" t="n"/>
      <c r="BH12" s="169" t="n"/>
      <c r="BI12" s="169" t="n"/>
      <c r="BJ12" s="169" t="n"/>
      <c r="BK12" s="169" t="n"/>
      <c r="BL12" s="169" t="n"/>
      <c r="BM12" s="169" t="n"/>
      <c r="BN12" s="169" t="n"/>
      <c r="BO12" s="169" t="n"/>
      <c r="BP12" s="169" t="n"/>
      <c r="BQ12" s="169" t="n"/>
      <c r="BR12" s="169" t="n"/>
      <c r="BS12" s="169" t="n"/>
      <c r="BT12" s="169" t="n"/>
      <c r="BU12" s="169" t="n"/>
      <c r="BV12" s="169" t="n"/>
      <c r="BW12" s="169" t="n"/>
      <c r="BX12" s="169" t="n"/>
      <c r="BY12" s="169" t="n"/>
      <c r="BZ12" s="169" t="n"/>
      <c r="CA12" s="169" t="n"/>
      <c r="CB12" s="169" t="n"/>
      <c r="CC12" s="169" t="n"/>
      <c r="CD12" s="169" t="n"/>
    </row>
    <row r="13">
      <c r="A13" s="83" t="n"/>
      <c r="B13" s="226" t="inlineStr">
        <is>
          <t>Electricity</t>
        </is>
      </c>
      <c r="C13" s="226" t="inlineStr">
        <is>
          <t>(p/kWh)</t>
        </is>
      </c>
      <c r="D13" s="227" t="n">
        <v>0.15</v>
      </c>
      <c r="E13" s="227" t="n">
        <v>0.14</v>
      </c>
      <c r="F13" s="227" t="n">
        <v>0.13</v>
      </c>
      <c r="G13" s="227" t="n">
        <v>0.12</v>
      </c>
      <c r="H13" s="227" t="n">
        <v>0.11</v>
      </c>
      <c r="I13" s="227" t="n">
        <v>0.1</v>
      </c>
      <c r="J13" s="227" t="n">
        <v>0.09</v>
      </c>
      <c r="K13" s="227" t="n">
        <v>0.07000000000000001</v>
      </c>
      <c r="L13" s="227" t="n">
        <v>0.06</v>
      </c>
      <c r="M13" s="227" t="n">
        <v>0.05</v>
      </c>
      <c r="N13" s="227" t="n">
        <v>0.04</v>
      </c>
      <c r="O13" s="227" t="n">
        <v>0.03</v>
      </c>
      <c r="P13" s="227" t="n">
        <v>0.03</v>
      </c>
      <c r="Q13" s="227" t="n">
        <v>0.02</v>
      </c>
      <c r="R13" s="227" t="n">
        <v>0.02</v>
      </c>
      <c r="S13" s="227" t="n">
        <v>0.01</v>
      </c>
      <c r="T13" s="227" t="n">
        <v>0.01</v>
      </c>
      <c r="U13" s="227" t="n">
        <v>0.01</v>
      </c>
      <c r="V13" s="227" t="n">
        <v>0.01</v>
      </c>
      <c r="W13" s="227" t="n">
        <v>0.01</v>
      </c>
      <c r="X13" s="227" t="n">
        <v>0.01</v>
      </c>
      <c r="Y13" s="227" t="n">
        <v>0.01</v>
      </c>
      <c r="Z13" s="227" t="n">
        <v>0.01</v>
      </c>
      <c r="AA13" s="227" t="n">
        <v>0.01</v>
      </c>
      <c r="AB13" s="227" t="n">
        <v>0</v>
      </c>
      <c r="AC13" s="227" t="n">
        <v>0</v>
      </c>
      <c r="AD13" s="227" t="n">
        <v>0</v>
      </c>
      <c r="AE13" s="227" t="n">
        <v>0</v>
      </c>
      <c r="AF13" s="227" t="n">
        <v>0</v>
      </c>
      <c r="AG13" s="227" t="n">
        <v>0</v>
      </c>
      <c r="AH13" s="227" t="n">
        <v>0</v>
      </c>
      <c r="AI13" s="227" t="n">
        <v>0</v>
      </c>
      <c r="AJ13" s="227" t="n">
        <v>0</v>
      </c>
      <c r="AK13" s="227" t="n">
        <v>0</v>
      </c>
      <c r="AL13" s="227" t="n">
        <v>0</v>
      </c>
      <c r="AM13" s="227" t="n">
        <v>0</v>
      </c>
      <c r="AN13" s="227" t="n">
        <v>0</v>
      </c>
      <c r="AO13" s="227" t="n">
        <v>0</v>
      </c>
      <c r="AP13" s="227" t="n">
        <v>0</v>
      </c>
      <c r="AQ13" s="227" t="n">
        <v>0</v>
      </c>
      <c r="AR13" s="227" t="n">
        <v>0</v>
      </c>
      <c r="AS13" s="227" t="n">
        <v>0</v>
      </c>
      <c r="AT13" s="227" t="n">
        <v>0</v>
      </c>
      <c r="AU13" s="227" t="n">
        <v>0</v>
      </c>
      <c r="AV13" s="227" t="n">
        <v>0</v>
      </c>
      <c r="AW13" s="227" t="n">
        <v>0</v>
      </c>
      <c r="AX13" s="227" t="n">
        <v>0</v>
      </c>
      <c r="AY13" s="227" t="n">
        <v>0</v>
      </c>
      <c r="AZ13" s="227" t="n">
        <v>0</v>
      </c>
      <c r="BA13" s="227" t="n">
        <v>0</v>
      </c>
      <c r="BB13" s="227" t="n">
        <v>0</v>
      </c>
      <c r="BC13" s="227" t="n">
        <v>0</v>
      </c>
      <c r="BD13" s="227" t="n">
        <v>0</v>
      </c>
      <c r="BE13" s="227" t="n">
        <v>0</v>
      </c>
      <c r="BF13" s="227" t="n">
        <v>0</v>
      </c>
      <c r="BG13" s="227" t="n">
        <v>0</v>
      </c>
      <c r="BH13" s="227" t="n">
        <v>0</v>
      </c>
      <c r="BI13" s="227" t="n">
        <v>0</v>
      </c>
      <c r="BJ13" s="227" t="n">
        <v>0</v>
      </c>
      <c r="BK13" s="227" t="n">
        <v>0</v>
      </c>
      <c r="BL13" s="227" t="n">
        <v>0</v>
      </c>
      <c r="BM13" s="227" t="n">
        <v>0</v>
      </c>
      <c r="BN13" s="227" t="n">
        <v>0</v>
      </c>
      <c r="BO13" s="227" t="n">
        <v>0</v>
      </c>
      <c r="BP13" s="227" t="n">
        <v>0</v>
      </c>
      <c r="BQ13" s="227" t="n">
        <v>0</v>
      </c>
      <c r="BR13" s="227" t="n">
        <v>0</v>
      </c>
      <c r="BS13" s="227" t="n">
        <v>0</v>
      </c>
      <c r="BT13" s="227" t="n">
        <v>0</v>
      </c>
      <c r="BU13" s="227" t="n">
        <v>0</v>
      </c>
      <c r="BV13" s="227" t="n">
        <v>0</v>
      </c>
      <c r="BW13" s="227" t="n">
        <v>0</v>
      </c>
      <c r="BX13" s="227" t="n">
        <v>0</v>
      </c>
      <c r="BY13" s="227" t="n">
        <v>0</v>
      </c>
      <c r="BZ13" s="227" t="n">
        <v>0</v>
      </c>
      <c r="CA13" s="227" t="n">
        <v>0</v>
      </c>
      <c r="CB13" s="227" t="n">
        <v>0</v>
      </c>
      <c r="CC13" s="228" t="n">
        <v>0</v>
      </c>
      <c r="CD13" s="181" t="n"/>
    </row>
    <row r="14">
      <c r="A14" s="83" t="n"/>
      <c r="B14" s="226" t="inlineStr">
        <is>
          <t>Gas</t>
        </is>
      </c>
      <c r="C14" s="226" t="inlineStr">
        <is>
          <t>(p/kWh)</t>
        </is>
      </c>
      <c r="D14" s="227" t="n">
        <v>0.16</v>
      </c>
      <c r="E14" s="227" t="n">
        <v>0.16</v>
      </c>
      <c r="F14" s="227" t="n">
        <v>0.16</v>
      </c>
      <c r="G14" s="227" t="n">
        <v>0.16</v>
      </c>
      <c r="H14" s="227" t="n">
        <v>0.16</v>
      </c>
      <c r="I14" s="227" t="n">
        <v>0.16</v>
      </c>
      <c r="J14" s="227" t="n">
        <v>0.16</v>
      </c>
      <c r="K14" s="227" t="n">
        <v>0.16</v>
      </c>
      <c r="L14" s="227" t="n">
        <v>0.16</v>
      </c>
      <c r="M14" s="227" t="n">
        <v>0.16</v>
      </c>
      <c r="N14" s="227" t="n">
        <v>0.16</v>
      </c>
      <c r="O14" s="227" t="n">
        <v>0.16</v>
      </c>
      <c r="P14" s="227" t="n">
        <v>0.16</v>
      </c>
      <c r="Q14" s="227" t="n">
        <v>0.16</v>
      </c>
      <c r="R14" s="227" t="n">
        <v>0.16</v>
      </c>
      <c r="S14" s="227" t="n">
        <v>0.16</v>
      </c>
      <c r="T14" s="227" t="n">
        <v>0.16</v>
      </c>
      <c r="U14" s="227" t="n">
        <v>0.16</v>
      </c>
      <c r="V14" s="227" t="n">
        <v>0.16</v>
      </c>
      <c r="W14" s="227" t="n">
        <v>0.16</v>
      </c>
      <c r="X14" s="227" t="n">
        <v>0.16</v>
      </c>
      <c r="Y14" s="227" t="n">
        <v>0.16</v>
      </c>
      <c r="Z14" s="227" t="n">
        <v>0.16</v>
      </c>
      <c r="AA14" s="227" t="n">
        <v>0.16</v>
      </c>
      <c r="AB14" s="227" t="n">
        <v>0.16</v>
      </c>
      <c r="AC14" s="227" t="n">
        <v>0.16</v>
      </c>
      <c r="AD14" s="227" t="n">
        <v>0.16</v>
      </c>
      <c r="AE14" s="227" t="n">
        <v>0.16</v>
      </c>
      <c r="AF14" s="227" t="n">
        <v>0.16</v>
      </c>
      <c r="AG14" s="227" t="n">
        <v>0.16</v>
      </c>
      <c r="AH14" s="227" t="n">
        <v>0.16</v>
      </c>
      <c r="AI14" s="227" t="n">
        <v>0.16</v>
      </c>
      <c r="AJ14" s="227" t="n">
        <v>0.16</v>
      </c>
      <c r="AK14" s="227" t="n">
        <v>0.16</v>
      </c>
      <c r="AL14" s="227" t="n">
        <v>0.16</v>
      </c>
      <c r="AM14" s="227" t="n">
        <v>0.16</v>
      </c>
      <c r="AN14" s="227" t="n">
        <v>0.16</v>
      </c>
      <c r="AO14" s="227" t="n">
        <v>0.16</v>
      </c>
      <c r="AP14" s="227" t="n">
        <v>0.16</v>
      </c>
      <c r="AQ14" s="227" t="n">
        <v>0.16</v>
      </c>
      <c r="AR14" s="227" t="n">
        <v>0.16</v>
      </c>
      <c r="AS14" s="227" t="n">
        <v>0.16</v>
      </c>
      <c r="AT14" s="227" t="n">
        <v>0.16</v>
      </c>
      <c r="AU14" s="227" t="n">
        <v>0.16</v>
      </c>
      <c r="AV14" s="227" t="n">
        <v>0.16</v>
      </c>
      <c r="AW14" s="227" t="n">
        <v>0.16</v>
      </c>
      <c r="AX14" s="227" t="n">
        <v>0.16</v>
      </c>
      <c r="AY14" s="227" t="n">
        <v>0.16</v>
      </c>
      <c r="AZ14" s="227" t="n">
        <v>0.16</v>
      </c>
      <c r="BA14" s="227" t="n">
        <v>0.16</v>
      </c>
      <c r="BB14" s="227" t="n">
        <v>0.16</v>
      </c>
      <c r="BC14" s="227" t="n">
        <v>0.16</v>
      </c>
      <c r="BD14" s="227" t="n">
        <v>0.16</v>
      </c>
      <c r="BE14" s="227" t="n">
        <v>0.16</v>
      </c>
      <c r="BF14" s="227" t="n">
        <v>0.16</v>
      </c>
      <c r="BG14" s="227" t="n">
        <v>0.16</v>
      </c>
      <c r="BH14" s="227" t="n">
        <v>0.16</v>
      </c>
      <c r="BI14" s="227" t="n">
        <v>0.16</v>
      </c>
      <c r="BJ14" s="227" t="n">
        <v>0.16</v>
      </c>
      <c r="BK14" s="227" t="n">
        <v>0.16</v>
      </c>
      <c r="BL14" s="227" t="n">
        <v>0.16</v>
      </c>
      <c r="BM14" s="227" t="n">
        <v>0.16</v>
      </c>
      <c r="BN14" s="227" t="n">
        <v>0.16</v>
      </c>
      <c r="BO14" s="227" t="n">
        <v>0.16</v>
      </c>
      <c r="BP14" s="227" t="n">
        <v>0.16</v>
      </c>
      <c r="BQ14" s="227" t="n">
        <v>0.16</v>
      </c>
      <c r="BR14" s="227" t="n">
        <v>0.16</v>
      </c>
      <c r="BS14" s="227" t="n">
        <v>0.16</v>
      </c>
      <c r="BT14" s="227" t="n">
        <v>0.16</v>
      </c>
      <c r="BU14" s="227" t="n">
        <v>0.16</v>
      </c>
      <c r="BV14" s="227" t="n">
        <v>0.16</v>
      </c>
      <c r="BW14" s="227" t="n">
        <v>0.16</v>
      </c>
      <c r="BX14" s="227" t="n">
        <v>0.16</v>
      </c>
      <c r="BY14" s="227" t="n">
        <v>0.16</v>
      </c>
      <c r="BZ14" s="227" t="n">
        <v>0.16</v>
      </c>
      <c r="CA14" s="227" t="n">
        <v>0.16</v>
      </c>
      <c r="CB14" s="227" t="n">
        <v>0.16</v>
      </c>
      <c r="CC14" s="228" t="n">
        <v>0.16</v>
      </c>
      <c r="CD14" s="181" t="n"/>
    </row>
    <row r="15">
      <c r="A15" s="83" t="n"/>
      <c r="B15" s="226" t="inlineStr">
        <is>
          <t>Coal</t>
        </is>
      </c>
      <c r="C15" s="226" t="inlineStr">
        <is>
          <t>(p/kWh)</t>
        </is>
      </c>
      <c r="D15" s="227" t="n">
        <v>3.74</v>
      </c>
      <c r="E15" s="227" t="n">
        <v>3.74</v>
      </c>
      <c r="F15" s="227" t="n">
        <v>3.74</v>
      </c>
      <c r="G15" s="227" t="n">
        <v>3.74</v>
      </c>
      <c r="H15" s="227" t="n">
        <v>3.74</v>
      </c>
      <c r="I15" s="227" t="n">
        <v>3.74</v>
      </c>
      <c r="J15" s="227" t="n">
        <v>3.74</v>
      </c>
      <c r="K15" s="227" t="n">
        <v>3.74</v>
      </c>
      <c r="L15" s="227" t="n">
        <v>3.74</v>
      </c>
      <c r="M15" s="227" t="n">
        <v>3.74</v>
      </c>
      <c r="N15" s="227" t="n">
        <v>3.74</v>
      </c>
      <c r="O15" s="227" t="n">
        <v>3.74</v>
      </c>
      <c r="P15" s="227" t="n">
        <v>3.74</v>
      </c>
      <c r="Q15" s="227" t="n">
        <v>3.74</v>
      </c>
      <c r="R15" s="227" t="n">
        <v>3.74</v>
      </c>
      <c r="S15" s="227" t="n">
        <v>3.74</v>
      </c>
      <c r="T15" s="227" t="n">
        <v>3.74</v>
      </c>
      <c r="U15" s="227" t="n">
        <v>3.74</v>
      </c>
      <c r="V15" s="227" t="n">
        <v>3.74</v>
      </c>
      <c r="W15" s="227" t="n">
        <v>3.74</v>
      </c>
      <c r="X15" s="227" t="n">
        <v>3.74</v>
      </c>
      <c r="Y15" s="227" t="n">
        <v>3.74</v>
      </c>
      <c r="Z15" s="227" t="n">
        <v>3.74</v>
      </c>
      <c r="AA15" s="227" t="n">
        <v>3.74</v>
      </c>
      <c r="AB15" s="227" t="n">
        <v>3.74</v>
      </c>
      <c r="AC15" s="227" t="n">
        <v>3.74</v>
      </c>
      <c r="AD15" s="227" t="n">
        <v>3.74</v>
      </c>
      <c r="AE15" s="227" t="n">
        <v>3.74</v>
      </c>
      <c r="AF15" s="227" t="n">
        <v>3.74</v>
      </c>
      <c r="AG15" s="227" t="n">
        <v>3.74</v>
      </c>
      <c r="AH15" s="227" t="n">
        <v>3.74</v>
      </c>
      <c r="AI15" s="227" t="n">
        <v>3.74</v>
      </c>
      <c r="AJ15" s="227" t="n">
        <v>3.74</v>
      </c>
      <c r="AK15" s="227" t="n">
        <v>3.74</v>
      </c>
      <c r="AL15" s="227" t="n">
        <v>3.74</v>
      </c>
      <c r="AM15" s="227" t="n">
        <v>3.74</v>
      </c>
      <c r="AN15" s="227" t="n">
        <v>3.74</v>
      </c>
      <c r="AO15" s="227" t="n">
        <v>3.74</v>
      </c>
      <c r="AP15" s="227" t="n">
        <v>3.74</v>
      </c>
      <c r="AQ15" s="227" t="n">
        <v>3.74</v>
      </c>
      <c r="AR15" s="227" t="n">
        <v>3.74</v>
      </c>
      <c r="AS15" s="227" t="n">
        <v>3.74</v>
      </c>
      <c r="AT15" s="227" t="n">
        <v>3.74</v>
      </c>
      <c r="AU15" s="227" t="n">
        <v>3.74</v>
      </c>
      <c r="AV15" s="227" t="n">
        <v>3.74</v>
      </c>
      <c r="AW15" s="227" t="n">
        <v>3.74</v>
      </c>
      <c r="AX15" s="227" t="n">
        <v>3.74</v>
      </c>
      <c r="AY15" s="227" t="n">
        <v>3.74</v>
      </c>
      <c r="AZ15" s="227" t="n">
        <v>3.74</v>
      </c>
      <c r="BA15" s="227" t="n">
        <v>3.74</v>
      </c>
      <c r="BB15" s="227" t="n">
        <v>3.74</v>
      </c>
      <c r="BC15" s="227" t="n">
        <v>3.74</v>
      </c>
      <c r="BD15" s="227" t="n">
        <v>3.74</v>
      </c>
      <c r="BE15" s="227" t="n">
        <v>3.74</v>
      </c>
      <c r="BF15" s="227" t="n">
        <v>3.74</v>
      </c>
      <c r="BG15" s="227" t="n">
        <v>3.74</v>
      </c>
      <c r="BH15" s="227" t="n">
        <v>3.74</v>
      </c>
      <c r="BI15" s="227" t="n">
        <v>3.74</v>
      </c>
      <c r="BJ15" s="227" t="n">
        <v>3.74</v>
      </c>
      <c r="BK15" s="227" t="n">
        <v>3.74</v>
      </c>
      <c r="BL15" s="227" t="n">
        <v>3.74</v>
      </c>
      <c r="BM15" s="227" t="n">
        <v>3.74</v>
      </c>
      <c r="BN15" s="227" t="n">
        <v>3.74</v>
      </c>
      <c r="BO15" s="227" t="n">
        <v>3.74</v>
      </c>
      <c r="BP15" s="227" t="n">
        <v>3.74</v>
      </c>
      <c r="BQ15" s="227" t="n">
        <v>3.74</v>
      </c>
      <c r="BR15" s="227" t="n">
        <v>3.74</v>
      </c>
      <c r="BS15" s="227" t="n">
        <v>3.74</v>
      </c>
      <c r="BT15" s="227" t="n">
        <v>3.74</v>
      </c>
      <c r="BU15" s="227" t="n">
        <v>3.74</v>
      </c>
      <c r="BV15" s="227" t="n">
        <v>3.74</v>
      </c>
      <c r="BW15" s="227" t="n">
        <v>3.74</v>
      </c>
      <c r="BX15" s="227" t="n">
        <v>3.74</v>
      </c>
      <c r="BY15" s="227" t="n">
        <v>3.74</v>
      </c>
      <c r="BZ15" s="227" t="n">
        <v>3.74</v>
      </c>
      <c r="CA15" s="227" t="n">
        <v>3.74</v>
      </c>
      <c r="CB15" s="227" t="n">
        <v>3.74</v>
      </c>
      <c r="CC15" s="228" t="n">
        <v>3.74</v>
      </c>
      <c r="CD15" s="181" t="n"/>
    </row>
    <row r="16">
      <c r="A16" s="83" t="n"/>
      <c r="B16" s="226" t="inlineStr">
        <is>
          <t>Burning oil</t>
        </is>
      </c>
      <c r="C16" s="226" t="inlineStr">
        <is>
          <t>(p/kWh)</t>
        </is>
      </c>
      <c r="D16" s="227" t="n">
        <v>2.28</v>
      </c>
      <c r="E16" s="227" t="n">
        <v>2.28</v>
      </c>
      <c r="F16" s="227" t="n">
        <v>2.28</v>
      </c>
      <c r="G16" s="227" t="n">
        <v>2.28</v>
      </c>
      <c r="H16" s="227" t="n">
        <v>2.28</v>
      </c>
      <c r="I16" s="227" t="n">
        <v>2.28</v>
      </c>
      <c r="J16" s="227" t="n">
        <v>2.28</v>
      </c>
      <c r="K16" s="227" t="n">
        <v>2.28</v>
      </c>
      <c r="L16" s="227" t="n">
        <v>2.28</v>
      </c>
      <c r="M16" s="227" t="n">
        <v>2.28</v>
      </c>
      <c r="N16" s="227" t="n">
        <v>2.28</v>
      </c>
      <c r="O16" s="227" t="n">
        <v>2.28</v>
      </c>
      <c r="P16" s="227" t="n">
        <v>2.28</v>
      </c>
      <c r="Q16" s="227" t="n">
        <v>2.28</v>
      </c>
      <c r="R16" s="227" t="n">
        <v>2.28</v>
      </c>
      <c r="S16" s="227" t="n">
        <v>2.28</v>
      </c>
      <c r="T16" s="227" t="n">
        <v>2.28</v>
      </c>
      <c r="U16" s="227" t="n">
        <v>2.28</v>
      </c>
      <c r="V16" s="227" t="n">
        <v>2.28</v>
      </c>
      <c r="W16" s="227" t="n">
        <v>2.28</v>
      </c>
      <c r="X16" s="227" t="n">
        <v>2.28</v>
      </c>
      <c r="Y16" s="227" t="n">
        <v>2.28</v>
      </c>
      <c r="Z16" s="227" t="n">
        <v>2.28</v>
      </c>
      <c r="AA16" s="227" t="n">
        <v>2.28</v>
      </c>
      <c r="AB16" s="227" t="n">
        <v>2.28</v>
      </c>
      <c r="AC16" s="227" t="n">
        <v>2.28</v>
      </c>
      <c r="AD16" s="227" t="n">
        <v>2.28</v>
      </c>
      <c r="AE16" s="227" t="n">
        <v>2.28</v>
      </c>
      <c r="AF16" s="227" t="n">
        <v>2.28</v>
      </c>
      <c r="AG16" s="227" t="n">
        <v>2.28</v>
      </c>
      <c r="AH16" s="227" t="n">
        <v>2.28</v>
      </c>
      <c r="AI16" s="227" t="n">
        <v>2.28</v>
      </c>
      <c r="AJ16" s="227" t="n">
        <v>2.28</v>
      </c>
      <c r="AK16" s="227" t="n">
        <v>2.28</v>
      </c>
      <c r="AL16" s="227" t="n">
        <v>2.28</v>
      </c>
      <c r="AM16" s="227" t="n">
        <v>2.28</v>
      </c>
      <c r="AN16" s="227" t="n">
        <v>2.28</v>
      </c>
      <c r="AO16" s="227" t="n">
        <v>2.28</v>
      </c>
      <c r="AP16" s="227" t="n">
        <v>2.28</v>
      </c>
      <c r="AQ16" s="227" t="n">
        <v>2.28</v>
      </c>
      <c r="AR16" s="227" t="n">
        <v>2.28</v>
      </c>
      <c r="AS16" s="227" t="n">
        <v>2.28</v>
      </c>
      <c r="AT16" s="227" t="n">
        <v>2.28</v>
      </c>
      <c r="AU16" s="227" t="n">
        <v>2.28</v>
      </c>
      <c r="AV16" s="227" t="n">
        <v>2.28</v>
      </c>
      <c r="AW16" s="227" t="n">
        <v>2.28</v>
      </c>
      <c r="AX16" s="227" t="n">
        <v>2.28</v>
      </c>
      <c r="AY16" s="227" t="n">
        <v>2.28</v>
      </c>
      <c r="AZ16" s="227" t="n">
        <v>2.28</v>
      </c>
      <c r="BA16" s="227" t="n">
        <v>2.28</v>
      </c>
      <c r="BB16" s="227" t="n">
        <v>2.28</v>
      </c>
      <c r="BC16" s="227" t="n">
        <v>2.28</v>
      </c>
      <c r="BD16" s="227" t="n">
        <v>2.28</v>
      </c>
      <c r="BE16" s="227" t="n">
        <v>2.28</v>
      </c>
      <c r="BF16" s="227" t="n">
        <v>2.28</v>
      </c>
      <c r="BG16" s="227" t="n">
        <v>2.28</v>
      </c>
      <c r="BH16" s="227" t="n">
        <v>2.28</v>
      </c>
      <c r="BI16" s="227" t="n">
        <v>2.28</v>
      </c>
      <c r="BJ16" s="227" t="n">
        <v>2.28</v>
      </c>
      <c r="BK16" s="227" t="n">
        <v>2.28</v>
      </c>
      <c r="BL16" s="227" t="n">
        <v>2.28</v>
      </c>
      <c r="BM16" s="227" t="n">
        <v>2.28</v>
      </c>
      <c r="BN16" s="227" t="n">
        <v>2.28</v>
      </c>
      <c r="BO16" s="227" t="n">
        <v>2.28</v>
      </c>
      <c r="BP16" s="227" t="n">
        <v>2.28</v>
      </c>
      <c r="BQ16" s="227" t="n">
        <v>2.28</v>
      </c>
      <c r="BR16" s="227" t="n">
        <v>2.28</v>
      </c>
      <c r="BS16" s="227" t="n">
        <v>2.28</v>
      </c>
      <c r="BT16" s="227" t="n">
        <v>2.28</v>
      </c>
      <c r="BU16" s="227" t="n">
        <v>2.28</v>
      </c>
      <c r="BV16" s="227" t="n">
        <v>2.28</v>
      </c>
      <c r="BW16" s="227" t="n">
        <v>2.28</v>
      </c>
      <c r="BX16" s="227" t="n">
        <v>2.28</v>
      </c>
      <c r="BY16" s="227" t="n">
        <v>2.28</v>
      </c>
      <c r="BZ16" s="227" t="n">
        <v>2.28</v>
      </c>
      <c r="CA16" s="227" t="n">
        <v>2.28</v>
      </c>
      <c r="CB16" s="227" t="n">
        <v>2.28</v>
      </c>
      <c r="CC16" s="228" t="n">
        <v>2.28</v>
      </c>
      <c r="CD16" s="181" t="n"/>
    </row>
    <row r="17">
      <c r="A17" s="83" t="n"/>
      <c r="B17" s="226" t="inlineStr">
        <is>
          <t>Biomass</t>
        </is>
      </c>
      <c r="C17" s="226" t="inlineStr">
        <is>
          <t>(p/kWh)</t>
        </is>
      </c>
      <c r="D17" s="227" t="n">
        <v>4.7</v>
      </c>
      <c r="E17" s="227" t="n">
        <v>4.7</v>
      </c>
      <c r="F17" s="227" t="n">
        <v>4.7</v>
      </c>
      <c r="G17" s="227" t="n">
        <v>4.7</v>
      </c>
      <c r="H17" s="227" t="n">
        <v>4.7</v>
      </c>
      <c r="I17" s="227" t="n">
        <v>4.7</v>
      </c>
      <c r="J17" s="227" t="n">
        <v>4.7</v>
      </c>
      <c r="K17" s="227" t="n">
        <v>4.7</v>
      </c>
      <c r="L17" s="227" t="n">
        <v>4.7</v>
      </c>
      <c r="M17" s="227" t="n">
        <v>4.7</v>
      </c>
      <c r="N17" s="227" t="n">
        <v>4.7</v>
      </c>
      <c r="O17" s="227" t="n">
        <v>4.7</v>
      </c>
      <c r="P17" s="227" t="n">
        <v>4.7</v>
      </c>
      <c r="Q17" s="227" t="n">
        <v>4.7</v>
      </c>
      <c r="R17" s="227" t="n">
        <v>4.7</v>
      </c>
      <c r="S17" s="227" t="n">
        <v>4.7</v>
      </c>
      <c r="T17" s="227" t="n">
        <v>4.7</v>
      </c>
      <c r="U17" s="227" t="n">
        <v>4.7</v>
      </c>
      <c r="V17" s="227" t="n">
        <v>4.7</v>
      </c>
      <c r="W17" s="227" t="n">
        <v>4.7</v>
      </c>
      <c r="X17" s="227" t="n">
        <v>4.7</v>
      </c>
      <c r="Y17" s="227" t="n">
        <v>4.7</v>
      </c>
      <c r="Z17" s="227" t="n">
        <v>4.7</v>
      </c>
      <c r="AA17" s="227" t="n">
        <v>4.7</v>
      </c>
      <c r="AB17" s="227" t="n">
        <v>4.7</v>
      </c>
      <c r="AC17" s="227" t="n">
        <v>4.7</v>
      </c>
      <c r="AD17" s="227" t="n">
        <v>4.7</v>
      </c>
      <c r="AE17" s="227" t="n">
        <v>4.7</v>
      </c>
      <c r="AF17" s="227" t="n">
        <v>4.7</v>
      </c>
      <c r="AG17" s="227" t="n">
        <v>4.7</v>
      </c>
      <c r="AH17" s="227" t="n">
        <v>4.7</v>
      </c>
      <c r="AI17" s="227" t="n">
        <v>4.7</v>
      </c>
      <c r="AJ17" s="227" t="n">
        <v>4.7</v>
      </c>
      <c r="AK17" s="227" t="n">
        <v>4.7</v>
      </c>
      <c r="AL17" s="227" t="n">
        <v>4.7</v>
      </c>
      <c r="AM17" s="227" t="n">
        <v>4.7</v>
      </c>
      <c r="AN17" s="227" t="n">
        <v>4.7</v>
      </c>
      <c r="AO17" s="227" t="n">
        <v>4.7</v>
      </c>
      <c r="AP17" s="227" t="n">
        <v>4.7</v>
      </c>
      <c r="AQ17" s="227" t="n">
        <v>4.7</v>
      </c>
      <c r="AR17" s="227" t="n">
        <v>4.7</v>
      </c>
      <c r="AS17" s="227" t="n">
        <v>4.7</v>
      </c>
      <c r="AT17" s="227" t="n">
        <v>4.7</v>
      </c>
      <c r="AU17" s="227" t="n">
        <v>4.7</v>
      </c>
      <c r="AV17" s="227" t="n">
        <v>4.7</v>
      </c>
      <c r="AW17" s="227" t="n">
        <v>4.7</v>
      </c>
      <c r="AX17" s="227" t="n">
        <v>4.7</v>
      </c>
      <c r="AY17" s="227" t="n">
        <v>4.7</v>
      </c>
      <c r="AZ17" s="227" t="n">
        <v>4.7</v>
      </c>
      <c r="BA17" s="227" t="n">
        <v>4.7</v>
      </c>
      <c r="BB17" s="227" t="n">
        <v>4.7</v>
      </c>
      <c r="BC17" s="227" t="n">
        <v>4.7</v>
      </c>
      <c r="BD17" s="227" t="n">
        <v>4.7</v>
      </c>
      <c r="BE17" s="227" t="n">
        <v>4.7</v>
      </c>
      <c r="BF17" s="227" t="n">
        <v>4.7</v>
      </c>
      <c r="BG17" s="227" t="n">
        <v>4.7</v>
      </c>
      <c r="BH17" s="227" t="n">
        <v>4.7</v>
      </c>
      <c r="BI17" s="227" t="n">
        <v>4.7</v>
      </c>
      <c r="BJ17" s="227" t="n">
        <v>4.7</v>
      </c>
      <c r="BK17" s="227" t="n">
        <v>4.7</v>
      </c>
      <c r="BL17" s="227" t="n">
        <v>4.7</v>
      </c>
      <c r="BM17" s="227" t="n">
        <v>4.7</v>
      </c>
      <c r="BN17" s="227" t="n">
        <v>4.7</v>
      </c>
      <c r="BO17" s="227" t="n">
        <v>4.7</v>
      </c>
      <c r="BP17" s="227" t="n">
        <v>4.7</v>
      </c>
      <c r="BQ17" s="227" t="n">
        <v>4.7</v>
      </c>
      <c r="BR17" s="227" t="n">
        <v>4.7</v>
      </c>
      <c r="BS17" s="227" t="n">
        <v>4.7</v>
      </c>
      <c r="BT17" s="227" t="n">
        <v>4.7</v>
      </c>
      <c r="BU17" s="227" t="n">
        <v>4.7</v>
      </c>
      <c r="BV17" s="227" t="n">
        <v>4.7</v>
      </c>
      <c r="BW17" s="227" t="n">
        <v>4.7</v>
      </c>
      <c r="BX17" s="227" t="n">
        <v>4.7</v>
      </c>
      <c r="BY17" s="227" t="n">
        <v>4.7</v>
      </c>
      <c r="BZ17" s="227" t="n">
        <v>4.7</v>
      </c>
      <c r="CA17" s="227" t="n">
        <v>4.7</v>
      </c>
      <c r="CB17" s="227" t="n">
        <v>4.7</v>
      </c>
      <c r="CC17" s="228" t="n">
        <v>4.7</v>
      </c>
      <c r="CD17" s="181" t="n"/>
    </row>
    <row r="18">
      <c r="A18" s="83" t="n"/>
      <c r="B18" s="226" t="inlineStr">
        <is>
          <t>LPG</t>
        </is>
      </c>
      <c r="C18" s="226" t="inlineStr">
        <is>
          <t>(p/kWh)</t>
        </is>
      </c>
      <c r="D18" s="227" t="n">
        <v>0.22</v>
      </c>
      <c r="E18" s="227" t="n">
        <v>0.22</v>
      </c>
      <c r="F18" s="227" t="n">
        <v>0.22</v>
      </c>
      <c r="G18" s="227" t="n">
        <v>0.22</v>
      </c>
      <c r="H18" s="227" t="n">
        <v>0.22</v>
      </c>
      <c r="I18" s="227" t="n">
        <v>0.22</v>
      </c>
      <c r="J18" s="227" t="n">
        <v>0.22</v>
      </c>
      <c r="K18" s="227" t="n">
        <v>0.22</v>
      </c>
      <c r="L18" s="227" t="n">
        <v>0.22</v>
      </c>
      <c r="M18" s="227" t="n">
        <v>0.22</v>
      </c>
      <c r="N18" s="227" t="n">
        <v>0.22</v>
      </c>
      <c r="O18" s="227" t="n">
        <v>0.22</v>
      </c>
      <c r="P18" s="227" t="n">
        <v>0.22</v>
      </c>
      <c r="Q18" s="227" t="n">
        <v>0.22</v>
      </c>
      <c r="R18" s="227" t="n">
        <v>0.22</v>
      </c>
      <c r="S18" s="227" t="n">
        <v>0.22</v>
      </c>
      <c r="T18" s="227" t="n">
        <v>0.22</v>
      </c>
      <c r="U18" s="227" t="n">
        <v>0.22</v>
      </c>
      <c r="V18" s="227" t="n">
        <v>0.22</v>
      </c>
      <c r="W18" s="227" t="n">
        <v>0.22</v>
      </c>
      <c r="X18" s="227" t="n">
        <v>0.22</v>
      </c>
      <c r="Y18" s="227" t="n">
        <v>0.22</v>
      </c>
      <c r="Z18" s="227" t="n">
        <v>0.22</v>
      </c>
      <c r="AA18" s="227" t="n">
        <v>0.22</v>
      </c>
      <c r="AB18" s="227" t="n">
        <v>0.22</v>
      </c>
      <c r="AC18" s="227" t="n">
        <v>0.22</v>
      </c>
      <c r="AD18" s="227" t="n">
        <v>0.22</v>
      </c>
      <c r="AE18" s="227" t="n">
        <v>0.22</v>
      </c>
      <c r="AF18" s="227" t="n">
        <v>0.22</v>
      </c>
      <c r="AG18" s="227" t="n">
        <v>0.22</v>
      </c>
      <c r="AH18" s="227" t="n">
        <v>0.22</v>
      </c>
      <c r="AI18" s="227" t="n">
        <v>0.22</v>
      </c>
      <c r="AJ18" s="227" t="n">
        <v>0.22</v>
      </c>
      <c r="AK18" s="227" t="n">
        <v>0.22</v>
      </c>
      <c r="AL18" s="227" t="n">
        <v>0.22</v>
      </c>
      <c r="AM18" s="227" t="n">
        <v>0.22</v>
      </c>
      <c r="AN18" s="227" t="n">
        <v>0.22</v>
      </c>
      <c r="AO18" s="227" t="n">
        <v>0.22</v>
      </c>
      <c r="AP18" s="227" t="n">
        <v>0.22</v>
      </c>
      <c r="AQ18" s="227" t="n">
        <v>0.22</v>
      </c>
      <c r="AR18" s="227" t="n">
        <v>0.22</v>
      </c>
      <c r="AS18" s="227" t="n">
        <v>0.22</v>
      </c>
      <c r="AT18" s="227" t="n">
        <v>0.22</v>
      </c>
      <c r="AU18" s="227" t="n">
        <v>0.22</v>
      </c>
      <c r="AV18" s="227" t="n">
        <v>0.22</v>
      </c>
      <c r="AW18" s="227" t="n">
        <v>0.22</v>
      </c>
      <c r="AX18" s="227" t="n">
        <v>0.22</v>
      </c>
      <c r="AY18" s="227" t="n">
        <v>0.22</v>
      </c>
      <c r="AZ18" s="227" t="n">
        <v>0.22</v>
      </c>
      <c r="BA18" s="227" t="n">
        <v>0.22</v>
      </c>
      <c r="BB18" s="227" t="n">
        <v>0.22</v>
      </c>
      <c r="BC18" s="227" t="n">
        <v>0.22</v>
      </c>
      <c r="BD18" s="227" t="n">
        <v>0.22</v>
      </c>
      <c r="BE18" s="227" t="n">
        <v>0.22</v>
      </c>
      <c r="BF18" s="227" t="n">
        <v>0.22</v>
      </c>
      <c r="BG18" s="227" t="n">
        <v>0.22</v>
      </c>
      <c r="BH18" s="227" t="n">
        <v>0.22</v>
      </c>
      <c r="BI18" s="227" t="n">
        <v>0.22</v>
      </c>
      <c r="BJ18" s="227" t="n">
        <v>0.22</v>
      </c>
      <c r="BK18" s="227" t="n">
        <v>0.22</v>
      </c>
      <c r="BL18" s="227" t="n">
        <v>0.22</v>
      </c>
      <c r="BM18" s="227" t="n">
        <v>0.22</v>
      </c>
      <c r="BN18" s="227" t="n">
        <v>0.22</v>
      </c>
      <c r="BO18" s="227" t="n">
        <v>0.22</v>
      </c>
      <c r="BP18" s="227" t="n">
        <v>0.22</v>
      </c>
      <c r="BQ18" s="227" t="n">
        <v>0.22</v>
      </c>
      <c r="BR18" s="227" t="n">
        <v>0.22</v>
      </c>
      <c r="BS18" s="227" t="n">
        <v>0.22</v>
      </c>
      <c r="BT18" s="227" t="n">
        <v>0.22</v>
      </c>
      <c r="BU18" s="227" t="n">
        <v>0.22</v>
      </c>
      <c r="BV18" s="227" t="n">
        <v>0.22</v>
      </c>
      <c r="BW18" s="227" t="n">
        <v>0.22</v>
      </c>
      <c r="BX18" s="227" t="n">
        <v>0.22</v>
      </c>
      <c r="BY18" s="227" t="n">
        <v>0.22</v>
      </c>
      <c r="BZ18" s="227" t="n">
        <v>0.22</v>
      </c>
      <c r="CA18" s="227" t="n">
        <v>0.22</v>
      </c>
      <c r="CB18" s="227" t="n">
        <v>0.22</v>
      </c>
      <c r="CC18" s="228" t="n">
        <v>0.22</v>
      </c>
      <c r="CD18" s="181" t="n"/>
    </row>
    <row r="19">
      <c r="A19" s="83" t="n"/>
      <c r="B19" s="226" t="inlineStr">
        <is>
          <t>Peat</t>
        </is>
      </c>
      <c r="C19" s="226" t="inlineStr">
        <is>
          <t>(p/kWh)</t>
        </is>
      </c>
      <c r="D19" s="227" t="n">
        <v>21.43</v>
      </c>
      <c r="E19" s="227" t="n">
        <v>21.43</v>
      </c>
      <c r="F19" s="227" t="n">
        <v>21.43</v>
      </c>
      <c r="G19" s="227" t="n">
        <v>21.43</v>
      </c>
      <c r="H19" s="227" t="n">
        <v>21.43</v>
      </c>
      <c r="I19" s="227" t="n">
        <v>21.43</v>
      </c>
      <c r="J19" s="227" t="n">
        <v>21.43</v>
      </c>
      <c r="K19" s="227" t="n">
        <v>21.43</v>
      </c>
      <c r="L19" s="227" t="n">
        <v>21.43</v>
      </c>
      <c r="M19" s="227" t="n">
        <v>21.43</v>
      </c>
      <c r="N19" s="227" t="n">
        <v>21.43</v>
      </c>
      <c r="O19" s="227" t="n">
        <v>21.43</v>
      </c>
      <c r="P19" s="227" t="n">
        <v>21.43</v>
      </c>
      <c r="Q19" s="227" t="n">
        <v>21.43</v>
      </c>
      <c r="R19" s="227" t="n">
        <v>21.43</v>
      </c>
      <c r="S19" s="227" t="n">
        <v>21.43</v>
      </c>
      <c r="T19" s="227" t="n">
        <v>21.43</v>
      </c>
      <c r="U19" s="227" t="n">
        <v>21.43</v>
      </c>
      <c r="V19" s="227" t="n">
        <v>21.43</v>
      </c>
      <c r="W19" s="227" t="n">
        <v>21.43</v>
      </c>
      <c r="X19" s="227" t="n">
        <v>21.43</v>
      </c>
      <c r="Y19" s="227" t="n">
        <v>21.43</v>
      </c>
      <c r="Z19" s="227" t="n">
        <v>21.43</v>
      </c>
      <c r="AA19" s="227" t="n">
        <v>21.43</v>
      </c>
      <c r="AB19" s="227" t="n">
        <v>21.43</v>
      </c>
      <c r="AC19" s="227" t="n">
        <v>21.43</v>
      </c>
      <c r="AD19" s="227" t="n">
        <v>21.43</v>
      </c>
      <c r="AE19" s="227" t="n">
        <v>21.43</v>
      </c>
      <c r="AF19" s="227" t="n">
        <v>21.43</v>
      </c>
      <c r="AG19" s="227" t="n">
        <v>21.43</v>
      </c>
      <c r="AH19" s="227" t="n">
        <v>21.43</v>
      </c>
      <c r="AI19" s="227" t="n">
        <v>21.43</v>
      </c>
      <c r="AJ19" s="227" t="n">
        <v>21.43</v>
      </c>
      <c r="AK19" s="227" t="n">
        <v>21.43</v>
      </c>
      <c r="AL19" s="227" t="n">
        <v>21.43</v>
      </c>
      <c r="AM19" s="227" t="n">
        <v>21.43</v>
      </c>
      <c r="AN19" s="227" t="n">
        <v>21.43</v>
      </c>
      <c r="AO19" s="227" t="n">
        <v>21.43</v>
      </c>
      <c r="AP19" s="227" t="n">
        <v>21.43</v>
      </c>
      <c r="AQ19" s="227" t="n">
        <v>21.43</v>
      </c>
      <c r="AR19" s="227" t="n">
        <v>21.43</v>
      </c>
      <c r="AS19" s="227" t="n">
        <v>21.43</v>
      </c>
      <c r="AT19" s="227" t="n">
        <v>21.43</v>
      </c>
      <c r="AU19" s="227" t="n">
        <v>21.43</v>
      </c>
      <c r="AV19" s="227" t="n">
        <v>21.43</v>
      </c>
      <c r="AW19" s="227" t="n">
        <v>21.43</v>
      </c>
      <c r="AX19" s="227" t="n">
        <v>21.43</v>
      </c>
      <c r="AY19" s="227" t="n">
        <v>21.43</v>
      </c>
      <c r="AZ19" s="227" t="n">
        <v>21.43</v>
      </c>
      <c r="BA19" s="227" t="n">
        <v>21.43</v>
      </c>
      <c r="BB19" s="227" t="n">
        <v>21.43</v>
      </c>
      <c r="BC19" s="227" t="n">
        <v>21.43</v>
      </c>
      <c r="BD19" s="227" t="n">
        <v>21.43</v>
      </c>
      <c r="BE19" s="227" t="n">
        <v>21.43</v>
      </c>
      <c r="BF19" s="227" t="n">
        <v>21.43</v>
      </c>
      <c r="BG19" s="227" t="n">
        <v>21.43</v>
      </c>
      <c r="BH19" s="227" t="n">
        <v>21.43</v>
      </c>
      <c r="BI19" s="227" t="n">
        <v>21.43</v>
      </c>
      <c r="BJ19" s="227" t="n">
        <v>21.43</v>
      </c>
      <c r="BK19" s="227" t="n">
        <v>21.43</v>
      </c>
      <c r="BL19" s="227" t="n">
        <v>21.43</v>
      </c>
      <c r="BM19" s="227" t="n">
        <v>21.43</v>
      </c>
      <c r="BN19" s="227" t="n">
        <v>21.43</v>
      </c>
      <c r="BO19" s="227" t="n">
        <v>21.43</v>
      </c>
      <c r="BP19" s="227" t="n">
        <v>21.43</v>
      </c>
      <c r="BQ19" s="227" t="n">
        <v>21.43</v>
      </c>
      <c r="BR19" s="227" t="n">
        <v>21.43</v>
      </c>
      <c r="BS19" s="227" t="n">
        <v>21.43</v>
      </c>
      <c r="BT19" s="227" t="n">
        <v>21.43</v>
      </c>
      <c r="BU19" s="227" t="n">
        <v>21.43</v>
      </c>
      <c r="BV19" s="227" t="n">
        <v>21.43</v>
      </c>
      <c r="BW19" s="227" t="n">
        <v>21.43</v>
      </c>
      <c r="BX19" s="227" t="n">
        <v>21.43</v>
      </c>
      <c r="BY19" s="227" t="n">
        <v>21.43</v>
      </c>
      <c r="BZ19" s="227" t="n">
        <v>21.43</v>
      </c>
      <c r="CA19" s="227" t="n">
        <v>21.43</v>
      </c>
      <c r="CB19" s="227" t="n">
        <v>21.43</v>
      </c>
      <c r="CC19" s="228" t="n">
        <v>21.43</v>
      </c>
      <c r="CD19" s="181" t="n"/>
    </row>
    <row r="20">
      <c r="A20" s="83" t="n"/>
      <c r="B20" s="226" t="inlineStr">
        <is>
          <t>Petroleum coke</t>
        </is>
      </c>
      <c r="C20" s="226" t="inlineStr">
        <is>
          <t>(p/kWh)</t>
        </is>
      </c>
      <c r="D20" s="229" t="n">
        <v>7.36</v>
      </c>
      <c r="E20" s="229" t="n">
        <v>7.36</v>
      </c>
      <c r="F20" s="229" t="n">
        <v>7.36</v>
      </c>
      <c r="G20" s="229" t="n">
        <v>7.36</v>
      </c>
      <c r="H20" s="229" t="n">
        <v>7.36</v>
      </c>
      <c r="I20" s="229" t="n">
        <v>7.36</v>
      </c>
      <c r="J20" s="229" t="n">
        <v>7.36</v>
      </c>
      <c r="K20" s="229" t="n">
        <v>7.36</v>
      </c>
      <c r="L20" s="229" t="n">
        <v>7.36</v>
      </c>
      <c r="M20" s="229" t="n">
        <v>7.36</v>
      </c>
      <c r="N20" s="229" t="n">
        <v>7.36</v>
      </c>
      <c r="O20" s="229" t="n">
        <v>7.36</v>
      </c>
      <c r="P20" s="229" t="n">
        <v>7.36</v>
      </c>
      <c r="Q20" s="229" t="n">
        <v>7.36</v>
      </c>
      <c r="R20" s="229" t="n">
        <v>7.36</v>
      </c>
      <c r="S20" s="229" t="n">
        <v>7.36</v>
      </c>
      <c r="T20" s="229" t="n">
        <v>7.36</v>
      </c>
      <c r="U20" s="229" t="n">
        <v>7.36</v>
      </c>
      <c r="V20" s="229" t="n">
        <v>7.36</v>
      </c>
      <c r="W20" s="229" t="n">
        <v>7.36</v>
      </c>
      <c r="X20" s="229" t="n">
        <v>7.36</v>
      </c>
      <c r="Y20" s="229" t="n">
        <v>7.36</v>
      </c>
      <c r="Z20" s="229" t="n">
        <v>7.36</v>
      </c>
      <c r="AA20" s="229" t="n">
        <v>7.36</v>
      </c>
      <c r="AB20" s="229" t="n">
        <v>7.36</v>
      </c>
      <c r="AC20" s="229" t="n">
        <v>7.36</v>
      </c>
      <c r="AD20" s="229" t="n">
        <v>7.36</v>
      </c>
      <c r="AE20" s="229" t="n">
        <v>7.36</v>
      </c>
      <c r="AF20" s="229" t="n">
        <v>7.36</v>
      </c>
      <c r="AG20" s="229" t="n">
        <v>7.36</v>
      </c>
      <c r="AH20" s="229" t="n">
        <v>7.36</v>
      </c>
      <c r="AI20" s="229" t="n">
        <v>7.36</v>
      </c>
      <c r="AJ20" s="229" t="n">
        <v>7.36</v>
      </c>
      <c r="AK20" s="229" t="n">
        <v>7.36</v>
      </c>
      <c r="AL20" s="229" t="n">
        <v>7.36</v>
      </c>
      <c r="AM20" s="229" t="n">
        <v>7.36</v>
      </c>
      <c r="AN20" s="229" t="n">
        <v>7.36</v>
      </c>
      <c r="AO20" s="229" t="n">
        <v>7.36</v>
      </c>
      <c r="AP20" s="229" t="n">
        <v>7.36</v>
      </c>
      <c r="AQ20" s="229" t="n">
        <v>7.36</v>
      </c>
      <c r="AR20" s="229" t="n">
        <v>7.36</v>
      </c>
      <c r="AS20" s="229" t="n">
        <v>7.36</v>
      </c>
      <c r="AT20" s="229" t="n">
        <v>7.36</v>
      </c>
      <c r="AU20" s="229" t="n">
        <v>7.36</v>
      </c>
      <c r="AV20" s="229" t="n">
        <v>7.36</v>
      </c>
      <c r="AW20" s="229" t="n">
        <v>7.36</v>
      </c>
      <c r="AX20" s="229" t="n">
        <v>7.36</v>
      </c>
      <c r="AY20" s="229" t="n">
        <v>7.36</v>
      </c>
      <c r="AZ20" s="229" t="n">
        <v>7.36</v>
      </c>
      <c r="BA20" s="229" t="n">
        <v>7.36</v>
      </c>
      <c r="BB20" s="229" t="n">
        <v>7.36</v>
      </c>
      <c r="BC20" s="229" t="n">
        <v>7.36</v>
      </c>
      <c r="BD20" s="229" t="n">
        <v>7.36</v>
      </c>
      <c r="BE20" s="229" t="n">
        <v>7.36</v>
      </c>
      <c r="BF20" s="229" t="n">
        <v>7.36</v>
      </c>
      <c r="BG20" s="229" t="n">
        <v>7.36</v>
      </c>
      <c r="BH20" s="229" t="n">
        <v>7.36</v>
      </c>
      <c r="BI20" s="229" t="n">
        <v>7.36</v>
      </c>
      <c r="BJ20" s="229" t="n">
        <v>7.36</v>
      </c>
      <c r="BK20" s="229" t="n">
        <v>7.36</v>
      </c>
      <c r="BL20" s="229" t="n">
        <v>7.36</v>
      </c>
      <c r="BM20" s="229" t="n">
        <v>7.36</v>
      </c>
      <c r="BN20" s="229" t="n">
        <v>7.36</v>
      </c>
      <c r="BO20" s="229" t="n">
        <v>7.36</v>
      </c>
      <c r="BP20" s="229" t="n">
        <v>7.36</v>
      </c>
      <c r="BQ20" s="229" t="n">
        <v>7.36</v>
      </c>
      <c r="BR20" s="229" t="n">
        <v>7.36</v>
      </c>
      <c r="BS20" s="229" t="n">
        <v>7.36</v>
      </c>
      <c r="BT20" s="229" t="n">
        <v>7.36</v>
      </c>
      <c r="BU20" s="229" t="n">
        <v>7.36</v>
      </c>
      <c r="BV20" s="229" t="n">
        <v>7.36</v>
      </c>
      <c r="BW20" s="229" t="n">
        <v>7.36</v>
      </c>
      <c r="BX20" s="229" t="n">
        <v>7.36</v>
      </c>
      <c r="BY20" s="229" t="n">
        <v>7.36</v>
      </c>
      <c r="BZ20" s="229" t="n">
        <v>7.36</v>
      </c>
      <c r="CA20" s="229" t="n">
        <v>7.36</v>
      </c>
      <c r="CB20" s="229" t="n">
        <v>7.36</v>
      </c>
      <c r="CC20" s="230" t="n">
        <v>7.36</v>
      </c>
      <c r="CD20" s="181" t="n"/>
    </row>
    <row r="21">
      <c r="A21" s="83" t="n"/>
      <c r="B21" s="169" t="n"/>
      <c r="C21" s="169" t="n"/>
      <c r="D21" s="231" t="n"/>
      <c r="E21" s="231" t="n"/>
      <c r="F21" s="231" t="n"/>
      <c r="G21" s="231" t="n"/>
      <c r="H21" s="231" t="n"/>
      <c r="I21" s="231" t="n"/>
      <c r="J21" s="231" t="n"/>
      <c r="K21" s="231" t="n"/>
      <c r="L21" s="231" t="n"/>
      <c r="M21" s="231" t="n"/>
      <c r="N21" s="231" t="n"/>
      <c r="O21" s="231" t="n"/>
      <c r="P21" s="231" t="n"/>
      <c r="Q21" s="231" t="n"/>
      <c r="R21" s="231" t="n"/>
      <c r="S21" s="231" t="n"/>
      <c r="T21" s="231" t="n"/>
      <c r="U21" s="231" t="n"/>
      <c r="V21" s="231" t="n"/>
      <c r="W21" s="231" t="n"/>
      <c r="X21" s="231" t="n"/>
      <c r="Y21" s="231" t="n"/>
      <c r="Z21" s="231" t="n"/>
      <c r="AA21" s="231" t="n"/>
      <c r="AB21" s="231" t="n"/>
      <c r="AC21" s="231" t="n"/>
      <c r="AD21" s="231" t="n"/>
      <c r="AE21" s="231" t="n"/>
      <c r="AF21" s="231" t="n"/>
      <c r="AG21" s="231" t="n"/>
      <c r="AH21" s="231" t="n"/>
      <c r="AI21" s="231" t="n"/>
      <c r="AJ21" s="231" t="n"/>
      <c r="AK21" s="231" t="n"/>
      <c r="AL21" s="231" t="n"/>
      <c r="AM21" s="231" t="n"/>
      <c r="AN21" s="231" t="n"/>
      <c r="AO21" s="231" t="n"/>
      <c r="AP21" s="231" t="n"/>
      <c r="AQ21" s="231" t="n"/>
      <c r="AR21" s="231" t="n"/>
      <c r="AS21" s="231" t="n"/>
      <c r="AT21" s="231" t="n"/>
      <c r="AU21" s="231" t="n"/>
      <c r="AV21" s="231" t="n"/>
      <c r="AW21" s="231" t="n"/>
      <c r="AX21" s="231" t="n"/>
      <c r="AY21" s="231" t="n"/>
      <c r="AZ21" s="231" t="n"/>
      <c r="BA21" s="231" t="n"/>
      <c r="BB21" s="231" t="n"/>
      <c r="BC21" s="231" t="n"/>
      <c r="BD21" s="231" t="n"/>
      <c r="BE21" s="231" t="n"/>
      <c r="BF21" s="231" t="n"/>
      <c r="BG21" s="231" t="n"/>
      <c r="BH21" s="231" t="n"/>
      <c r="BI21" s="231" t="n"/>
      <c r="BJ21" s="231" t="n"/>
      <c r="BK21" s="231" t="n"/>
      <c r="BL21" s="231" t="n"/>
      <c r="BM21" s="231" t="n"/>
      <c r="BN21" s="231" t="n"/>
      <c r="BO21" s="231" t="n"/>
      <c r="BP21" s="231" t="n"/>
      <c r="BQ21" s="231" t="n"/>
      <c r="BR21" s="231" t="n"/>
      <c r="BS21" s="231" t="n"/>
      <c r="BT21" s="231" t="n"/>
      <c r="BU21" s="231" t="n"/>
      <c r="BV21" s="231" t="n"/>
      <c r="BW21" s="231" t="n"/>
      <c r="BX21" s="231" t="n"/>
      <c r="BY21" s="231" t="n"/>
      <c r="BZ21" s="231" t="n"/>
      <c r="CA21" s="231" t="n"/>
      <c r="CB21" s="231" t="n"/>
      <c r="CC21" s="231" t="n"/>
      <c r="CD21" s="169" t="n"/>
    </row>
    <row r="22">
      <c r="A22" s="83" t="n"/>
      <c r="B22" s="224" t="inlineStr">
        <is>
          <t>DOMESTIC: Inner conurbation</t>
        </is>
      </c>
      <c r="C22" s="225" t="n"/>
      <c r="D22" s="167" t="n"/>
      <c r="E22" s="167" t="n"/>
      <c r="F22" s="167" t="n"/>
      <c r="G22" s="167" t="n"/>
      <c r="H22" s="167" t="n"/>
      <c r="I22" s="167" t="n"/>
      <c r="J22" s="167" t="n"/>
      <c r="K22" s="167" t="n"/>
      <c r="L22" s="167" t="n"/>
      <c r="M22" s="167" t="n"/>
      <c r="N22" s="167" t="n"/>
      <c r="O22" s="167" t="n"/>
      <c r="P22" s="167" t="n"/>
      <c r="Q22" s="167" t="n"/>
      <c r="R22" s="167" t="n"/>
      <c r="S22" s="167" t="n"/>
      <c r="T22" s="167" t="n"/>
      <c r="U22" s="167" t="n"/>
      <c r="V22" s="167" t="n"/>
      <c r="W22" s="167" t="n"/>
      <c r="X22" s="167" t="n"/>
      <c r="Y22" s="167" t="n"/>
      <c r="Z22" s="167" t="n"/>
      <c r="AA22" s="167" t="n"/>
      <c r="AB22" s="167" t="n"/>
      <c r="AC22" s="167" t="n"/>
      <c r="AD22" s="167" t="n"/>
      <c r="AE22" s="167" t="n"/>
      <c r="AF22" s="167" t="n"/>
      <c r="AG22" s="167" t="n"/>
      <c r="AH22" s="167" t="n"/>
      <c r="AI22" s="167" t="n"/>
      <c r="AJ22" s="167" t="n"/>
      <c r="AK22" s="167" t="n"/>
      <c r="AL22" s="167" t="n"/>
      <c r="AM22" s="167" t="n"/>
      <c r="AN22" s="167" t="n"/>
      <c r="AO22" s="167" t="n"/>
      <c r="AP22" s="167" t="n"/>
      <c r="AQ22" s="167" t="n"/>
      <c r="AR22" s="167" t="n"/>
      <c r="AS22" s="167" t="n"/>
      <c r="AT22" s="167" t="n"/>
      <c r="AU22" s="167" t="n"/>
      <c r="AV22" s="167" t="n"/>
      <c r="AW22" s="167" t="n"/>
      <c r="AX22" s="167" t="n"/>
      <c r="AY22" s="167" t="n"/>
      <c r="AZ22" s="167" t="n"/>
      <c r="BA22" s="167" t="n"/>
      <c r="BB22" s="167" t="n"/>
      <c r="BC22" s="167" t="n"/>
      <c r="BD22" s="167" t="n"/>
      <c r="BE22" s="167" t="n"/>
      <c r="BF22" s="167" t="n"/>
      <c r="BG22" s="167" t="n"/>
      <c r="BH22" s="167" t="n"/>
      <c r="BI22" s="167" t="n"/>
      <c r="BJ22" s="167" t="n"/>
      <c r="BK22" s="167" t="n"/>
      <c r="BL22" s="167" t="n"/>
      <c r="BM22" s="167" t="n"/>
      <c r="BN22" s="167" t="n"/>
      <c r="BO22" s="167" t="n"/>
      <c r="BP22" s="167" t="n"/>
      <c r="BQ22" s="167" t="n"/>
      <c r="BR22" s="167" t="n"/>
      <c r="BS22" s="167" t="n"/>
      <c r="BT22" s="167" t="n"/>
      <c r="BU22" s="167" t="n"/>
      <c r="BV22" s="167" t="n"/>
      <c r="BW22" s="167" t="n"/>
      <c r="BX22" s="167" t="n"/>
      <c r="BY22" s="167" t="n"/>
      <c r="BZ22" s="167" t="n"/>
      <c r="CA22" s="167" t="n"/>
      <c r="CB22" s="167" t="n"/>
      <c r="CC22" s="232" t="n"/>
      <c r="CD22" s="181" t="n"/>
    </row>
    <row r="23">
      <c r="A23" s="83" t="n"/>
      <c r="B23" s="226" t="inlineStr">
        <is>
          <t>Gas</t>
        </is>
      </c>
      <c r="C23" s="226" t="inlineStr">
        <is>
          <t>(p/kWh)</t>
        </is>
      </c>
      <c r="D23" s="161" t="n">
        <v>0.23</v>
      </c>
      <c r="E23" s="161" t="n">
        <v>0.23</v>
      </c>
      <c r="F23" s="161" t="n">
        <v>0.23</v>
      </c>
      <c r="G23" s="161" t="n">
        <v>0.23</v>
      </c>
      <c r="H23" s="161" t="n">
        <v>0.23</v>
      </c>
      <c r="I23" s="161" t="n">
        <v>0.23</v>
      </c>
      <c r="J23" s="161" t="n">
        <v>0.23</v>
      </c>
      <c r="K23" s="161" t="n">
        <v>0.23</v>
      </c>
      <c r="L23" s="161" t="n">
        <v>0.23</v>
      </c>
      <c r="M23" s="161" t="n">
        <v>0.23</v>
      </c>
      <c r="N23" s="161" t="n">
        <v>0.23</v>
      </c>
      <c r="O23" s="161" t="n">
        <v>0.23</v>
      </c>
      <c r="P23" s="161" t="n">
        <v>0.23</v>
      </c>
      <c r="Q23" s="161" t="n">
        <v>0.23</v>
      </c>
      <c r="R23" s="161" t="n">
        <v>0.23</v>
      </c>
      <c r="S23" s="161" t="n">
        <v>0.23</v>
      </c>
      <c r="T23" s="161" t="n">
        <v>0.23</v>
      </c>
      <c r="U23" s="161" t="n">
        <v>0.23</v>
      </c>
      <c r="V23" s="161" t="n">
        <v>0.23</v>
      </c>
      <c r="W23" s="161" t="n">
        <v>0.23</v>
      </c>
      <c r="X23" s="161" t="n">
        <v>0.23</v>
      </c>
      <c r="Y23" s="161" t="n">
        <v>0.23</v>
      </c>
      <c r="Z23" s="161" t="n">
        <v>0.23</v>
      </c>
      <c r="AA23" s="161" t="n">
        <v>0.23</v>
      </c>
      <c r="AB23" s="161" t="n">
        <v>0.23</v>
      </c>
      <c r="AC23" s="161" t="n">
        <v>0.23</v>
      </c>
      <c r="AD23" s="161" t="n">
        <v>0.23</v>
      </c>
      <c r="AE23" s="161" t="n">
        <v>0.23</v>
      </c>
      <c r="AF23" s="161" t="n">
        <v>0.23</v>
      </c>
      <c r="AG23" s="161" t="n">
        <v>0.23</v>
      </c>
      <c r="AH23" s="161" t="n">
        <v>0.23</v>
      </c>
      <c r="AI23" s="161" t="n">
        <v>0.23</v>
      </c>
      <c r="AJ23" s="161" t="n">
        <v>0.23</v>
      </c>
      <c r="AK23" s="161" t="n">
        <v>0.23</v>
      </c>
      <c r="AL23" s="161" t="n">
        <v>0.23</v>
      </c>
      <c r="AM23" s="161" t="n">
        <v>0.23</v>
      </c>
      <c r="AN23" s="161" t="n">
        <v>0.23</v>
      </c>
      <c r="AO23" s="161" t="n">
        <v>0.23</v>
      </c>
      <c r="AP23" s="161" t="n">
        <v>0.23</v>
      </c>
      <c r="AQ23" s="161" t="n">
        <v>0.23</v>
      </c>
      <c r="AR23" s="161" t="n">
        <v>0.23</v>
      </c>
      <c r="AS23" s="161" t="n">
        <v>0.23</v>
      </c>
      <c r="AT23" s="161" t="n">
        <v>0.23</v>
      </c>
      <c r="AU23" s="161" t="n">
        <v>0.23</v>
      </c>
      <c r="AV23" s="161" t="n">
        <v>0.23</v>
      </c>
      <c r="AW23" s="161" t="n">
        <v>0.23</v>
      </c>
      <c r="AX23" s="161" t="n">
        <v>0.23</v>
      </c>
      <c r="AY23" s="161" t="n">
        <v>0.23</v>
      </c>
      <c r="AZ23" s="161" t="n">
        <v>0.23</v>
      </c>
      <c r="BA23" s="161" t="n">
        <v>0.23</v>
      </c>
      <c r="BB23" s="161" t="n">
        <v>0.23</v>
      </c>
      <c r="BC23" s="161" t="n">
        <v>0.23</v>
      </c>
      <c r="BD23" s="161" t="n">
        <v>0.23</v>
      </c>
      <c r="BE23" s="161" t="n">
        <v>0.23</v>
      </c>
      <c r="BF23" s="161" t="n">
        <v>0.23</v>
      </c>
      <c r="BG23" s="161" t="n">
        <v>0.23</v>
      </c>
      <c r="BH23" s="161" t="n">
        <v>0.23</v>
      </c>
      <c r="BI23" s="161" t="n">
        <v>0.23</v>
      </c>
      <c r="BJ23" s="161" t="n">
        <v>0.23</v>
      </c>
      <c r="BK23" s="161" t="n">
        <v>0.23</v>
      </c>
      <c r="BL23" s="161" t="n">
        <v>0.23</v>
      </c>
      <c r="BM23" s="161" t="n">
        <v>0.23</v>
      </c>
      <c r="BN23" s="161" t="n">
        <v>0.23</v>
      </c>
      <c r="BO23" s="161" t="n">
        <v>0.23</v>
      </c>
      <c r="BP23" s="161" t="n">
        <v>0.23</v>
      </c>
      <c r="BQ23" s="161" t="n">
        <v>0.23</v>
      </c>
      <c r="BR23" s="161" t="n">
        <v>0.23</v>
      </c>
      <c r="BS23" s="161" t="n">
        <v>0.23</v>
      </c>
      <c r="BT23" s="161" t="n">
        <v>0.23</v>
      </c>
      <c r="BU23" s="161" t="n">
        <v>0.23</v>
      </c>
      <c r="BV23" s="161" t="n">
        <v>0.23</v>
      </c>
      <c r="BW23" s="161" t="n">
        <v>0.23</v>
      </c>
      <c r="BX23" s="161" t="n">
        <v>0.23</v>
      </c>
      <c r="BY23" s="161" t="n">
        <v>0.23</v>
      </c>
      <c r="BZ23" s="161" t="n">
        <v>0.23</v>
      </c>
      <c r="CA23" s="161" t="n">
        <v>0.23</v>
      </c>
      <c r="CB23" s="161" t="n">
        <v>0.23</v>
      </c>
      <c r="CC23" s="162" t="n">
        <v>0.23</v>
      </c>
      <c r="CD23" s="181" t="n"/>
    </row>
    <row r="24">
      <c r="A24" s="83" t="n"/>
      <c r="B24" s="226" t="inlineStr">
        <is>
          <t>Coal</t>
        </is>
      </c>
      <c r="C24" s="226" t="inlineStr">
        <is>
          <t>(p/kWh)</t>
        </is>
      </c>
      <c r="D24" s="161" t="n">
        <v>14.56</v>
      </c>
      <c r="E24" s="161" t="n">
        <v>14.56</v>
      </c>
      <c r="F24" s="161" t="n">
        <v>14.56</v>
      </c>
      <c r="G24" s="161" t="n">
        <v>14.56</v>
      </c>
      <c r="H24" s="161" t="n">
        <v>14.56</v>
      </c>
      <c r="I24" s="161" t="n">
        <v>14.56</v>
      </c>
      <c r="J24" s="161" t="n">
        <v>14.56</v>
      </c>
      <c r="K24" s="161" t="n">
        <v>14.56</v>
      </c>
      <c r="L24" s="161" t="n">
        <v>14.56</v>
      </c>
      <c r="M24" s="161" t="n">
        <v>14.56</v>
      </c>
      <c r="N24" s="161" t="n">
        <v>14.56</v>
      </c>
      <c r="O24" s="161" t="n">
        <v>14.56</v>
      </c>
      <c r="P24" s="161" t="n">
        <v>14.56</v>
      </c>
      <c r="Q24" s="161" t="n">
        <v>14.56</v>
      </c>
      <c r="R24" s="161" t="n">
        <v>14.56</v>
      </c>
      <c r="S24" s="161" t="n">
        <v>14.56</v>
      </c>
      <c r="T24" s="161" t="n">
        <v>14.56</v>
      </c>
      <c r="U24" s="161" t="n">
        <v>14.56</v>
      </c>
      <c r="V24" s="161" t="n">
        <v>14.56</v>
      </c>
      <c r="W24" s="161" t="n">
        <v>14.56</v>
      </c>
      <c r="X24" s="161" t="n">
        <v>14.56</v>
      </c>
      <c r="Y24" s="161" t="n">
        <v>14.56</v>
      </c>
      <c r="Z24" s="161" t="n">
        <v>14.56</v>
      </c>
      <c r="AA24" s="161" t="n">
        <v>14.56</v>
      </c>
      <c r="AB24" s="161" t="n">
        <v>14.56</v>
      </c>
      <c r="AC24" s="161" t="n">
        <v>14.56</v>
      </c>
      <c r="AD24" s="161" t="n">
        <v>14.56</v>
      </c>
      <c r="AE24" s="161" t="n">
        <v>14.56</v>
      </c>
      <c r="AF24" s="161" t="n">
        <v>14.56</v>
      </c>
      <c r="AG24" s="161" t="n">
        <v>14.56</v>
      </c>
      <c r="AH24" s="161" t="n">
        <v>14.56</v>
      </c>
      <c r="AI24" s="161" t="n">
        <v>14.56</v>
      </c>
      <c r="AJ24" s="161" t="n">
        <v>14.56</v>
      </c>
      <c r="AK24" s="161" t="n">
        <v>14.56</v>
      </c>
      <c r="AL24" s="161" t="n">
        <v>14.56</v>
      </c>
      <c r="AM24" s="161" t="n">
        <v>14.56</v>
      </c>
      <c r="AN24" s="161" t="n">
        <v>14.56</v>
      </c>
      <c r="AO24" s="161" t="n">
        <v>14.56</v>
      </c>
      <c r="AP24" s="161" t="n">
        <v>14.56</v>
      </c>
      <c r="AQ24" s="161" t="n">
        <v>14.56</v>
      </c>
      <c r="AR24" s="161" t="n">
        <v>14.56</v>
      </c>
      <c r="AS24" s="161" t="n">
        <v>14.56</v>
      </c>
      <c r="AT24" s="161" t="n">
        <v>14.56</v>
      </c>
      <c r="AU24" s="161" t="n">
        <v>14.56</v>
      </c>
      <c r="AV24" s="161" t="n">
        <v>14.56</v>
      </c>
      <c r="AW24" s="161" t="n">
        <v>14.56</v>
      </c>
      <c r="AX24" s="161" t="n">
        <v>14.56</v>
      </c>
      <c r="AY24" s="161" t="n">
        <v>14.56</v>
      </c>
      <c r="AZ24" s="161" t="n">
        <v>14.56</v>
      </c>
      <c r="BA24" s="161" t="n">
        <v>14.56</v>
      </c>
      <c r="BB24" s="161" t="n">
        <v>14.56</v>
      </c>
      <c r="BC24" s="161" t="n">
        <v>14.56</v>
      </c>
      <c r="BD24" s="161" t="n">
        <v>14.56</v>
      </c>
      <c r="BE24" s="161" t="n">
        <v>14.56</v>
      </c>
      <c r="BF24" s="161" t="n">
        <v>14.56</v>
      </c>
      <c r="BG24" s="161" t="n">
        <v>14.56</v>
      </c>
      <c r="BH24" s="161" t="n">
        <v>14.56</v>
      </c>
      <c r="BI24" s="161" t="n">
        <v>14.56</v>
      </c>
      <c r="BJ24" s="161" t="n">
        <v>14.56</v>
      </c>
      <c r="BK24" s="161" t="n">
        <v>14.56</v>
      </c>
      <c r="BL24" s="161" t="n">
        <v>14.56</v>
      </c>
      <c r="BM24" s="161" t="n">
        <v>14.56</v>
      </c>
      <c r="BN24" s="161" t="n">
        <v>14.56</v>
      </c>
      <c r="BO24" s="161" t="n">
        <v>14.56</v>
      </c>
      <c r="BP24" s="161" t="n">
        <v>14.56</v>
      </c>
      <c r="BQ24" s="161" t="n">
        <v>14.56</v>
      </c>
      <c r="BR24" s="161" t="n">
        <v>14.56</v>
      </c>
      <c r="BS24" s="161" t="n">
        <v>14.56</v>
      </c>
      <c r="BT24" s="161" t="n">
        <v>14.56</v>
      </c>
      <c r="BU24" s="161" t="n">
        <v>14.56</v>
      </c>
      <c r="BV24" s="161" t="n">
        <v>14.56</v>
      </c>
      <c r="BW24" s="161" t="n">
        <v>14.56</v>
      </c>
      <c r="BX24" s="161" t="n">
        <v>14.56</v>
      </c>
      <c r="BY24" s="161" t="n">
        <v>14.56</v>
      </c>
      <c r="BZ24" s="161" t="n">
        <v>14.56</v>
      </c>
      <c r="CA24" s="161" t="n">
        <v>14.56</v>
      </c>
      <c r="CB24" s="161" t="n">
        <v>14.56</v>
      </c>
      <c r="CC24" s="162" t="n">
        <v>14.56</v>
      </c>
      <c r="CD24" s="181" t="n"/>
    </row>
    <row r="25">
      <c r="A25" s="83" t="n"/>
      <c r="B25" s="226" t="inlineStr">
        <is>
          <t>Burning oil</t>
        </is>
      </c>
      <c r="C25" s="226" t="inlineStr">
        <is>
          <t>(p/kWh)</t>
        </is>
      </c>
      <c r="D25" s="161" t="n">
        <v>0.63</v>
      </c>
      <c r="E25" s="161" t="n">
        <v>0.63</v>
      </c>
      <c r="F25" s="161" t="n">
        <v>0.63</v>
      </c>
      <c r="G25" s="161" t="n">
        <v>0.63</v>
      </c>
      <c r="H25" s="161" t="n">
        <v>0.63</v>
      </c>
      <c r="I25" s="161" t="n">
        <v>0.63</v>
      </c>
      <c r="J25" s="161" t="n">
        <v>0.63</v>
      </c>
      <c r="K25" s="161" t="n">
        <v>0.63</v>
      </c>
      <c r="L25" s="161" t="n">
        <v>0.63</v>
      </c>
      <c r="M25" s="161" t="n">
        <v>0.63</v>
      </c>
      <c r="N25" s="161" t="n">
        <v>0.63</v>
      </c>
      <c r="O25" s="161" t="n">
        <v>0.63</v>
      </c>
      <c r="P25" s="161" t="n">
        <v>0.63</v>
      </c>
      <c r="Q25" s="161" t="n">
        <v>0.63</v>
      </c>
      <c r="R25" s="161" t="n">
        <v>0.63</v>
      </c>
      <c r="S25" s="161" t="n">
        <v>0.63</v>
      </c>
      <c r="T25" s="161" t="n">
        <v>0.63</v>
      </c>
      <c r="U25" s="161" t="n">
        <v>0.63</v>
      </c>
      <c r="V25" s="161" t="n">
        <v>0.63</v>
      </c>
      <c r="W25" s="161" t="n">
        <v>0.63</v>
      </c>
      <c r="X25" s="161" t="n">
        <v>0.63</v>
      </c>
      <c r="Y25" s="161" t="n">
        <v>0.63</v>
      </c>
      <c r="Z25" s="161" t="n">
        <v>0.63</v>
      </c>
      <c r="AA25" s="161" t="n">
        <v>0.63</v>
      </c>
      <c r="AB25" s="161" t="n">
        <v>0.63</v>
      </c>
      <c r="AC25" s="161" t="n">
        <v>0.63</v>
      </c>
      <c r="AD25" s="161" t="n">
        <v>0.63</v>
      </c>
      <c r="AE25" s="161" t="n">
        <v>0.63</v>
      </c>
      <c r="AF25" s="161" t="n">
        <v>0.63</v>
      </c>
      <c r="AG25" s="161" t="n">
        <v>0.63</v>
      </c>
      <c r="AH25" s="161" t="n">
        <v>0.63</v>
      </c>
      <c r="AI25" s="161" t="n">
        <v>0.63</v>
      </c>
      <c r="AJ25" s="161" t="n">
        <v>0.63</v>
      </c>
      <c r="AK25" s="161" t="n">
        <v>0.63</v>
      </c>
      <c r="AL25" s="161" t="n">
        <v>0.63</v>
      </c>
      <c r="AM25" s="161" t="n">
        <v>0.63</v>
      </c>
      <c r="AN25" s="161" t="n">
        <v>0.63</v>
      </c>
      <c r="AO25" s="161" t="n">
        <v>0.63</v>
      </c>
      <c r="AP25" s="161" t="n">
        <v>0.63</v>
      </c>
      <c r="AQ25" s="161" t="n">
        <v>0.63</v>
      </c>
      <c r="AR25" s="161" t="n">
        <v>0.63</v>
      </c>
      <c r="AS25" s="161" t="n">
        <v>0.63</v>
      </c>
      <c r="AT25" s="161" t="n">
        <v>0.63</v>
      </c>
      <c r="AU25" s="161" t="n">
        <v>0.63</v>
      </c>
      <c r="AV25" s="161" t="n">
        <v>0.63</v>
      </c>
      <c r="AW25" s="161" t="n">
        <v>0.63</v>
      </c>
      <c r="AX25" s="161" t="n">
        <v>0.63</v>
      </c>
      <c r="AY25" s="161" t="n">
        <v>0.63</v>
      </c>
      <c r="AZ25" s="161" t="n">
        <v>0.63</v>
      </c>
      <c r="BA25" s="161" t="n">
        <v>0.63</v>
      </c>
      <c r="BB25" s="161" t="n">
        <v>0.63</v>
      </c>
      <c r="BC25" s="161" t="n">
        <v>0.63</v>
      </c>
      <c r="BD25" s="161" t="n">
        <v>0.63</v>
      </c>
      <c r="BE25" s="161" t="n">
        <v>0.63</v>
      </c>
      <c r="BF25" s="161" t="n">
        <v>0.63</v>
      </c>
      <c r="BG25" s="161" t="n">
        <v>0.63</v>
      </c>
      <c r="BH25" s="161" t="n">
        <v>0.63</v>
      </c>
      <c r="BI25" s="161" t="n">
        <v>0.63</v>
      </c>
      <c r="BJ25" s="161" t="n">
        <v>0.63</v>
      </c>
      <c r="BK25" s="161" t="n">
        <v>0.63</v>
      </c>
      <c r="BL25" s="161" t="n">
        <v>0.63</v>
      </c>
      <c r="BM25" s="161" t="n">
        <v>0.63</v>
      </c>
      <c r="BN25" s="161" t="n">
        <v>0.63</v>
      </c>
      <c r="BO25" s="161" t="n">
        <v>0.63</v>
      </c>
      <c r="BP25" s="161" t="n">
        <v>0.63</v>
      </c>
      <c r="BQ25" s="161" t="n">
        <v>0.63</v>
      </c>
      <c r="BR25" s="161" t="n">
        <v>0.63</v>
      </c>
      <c r="BS25" s="161" t="n">
        <v>0.63</v>
      </c>
      <c r="BT25" s="161" t="n">
        <v>0.63</v>
      </c>
      <c r="BU25" s="161" t="n">
        <v>0.63</v>
      </c>
      <c r="BV25" s="161" t="n">
        <v>0.63</v>
      </c>
      <c r="BW25" s="161" t="n">
        <v>0.63</v>
      </c>
      <c r="BX25" s="161" t="n">
        <v>0.63</v>
      </c>
      <c r="BY25" s="161" t="n">
        <v>0.63</v>
      </c>
      <c r="BZ25" s="161" t="n">
        <v>0.63</v>
      </c>
      <c r="CA25" s="161" t="n">
        <v>0.63</v>
      </c>
      <c r="CB25" s="161" t="n">
        <v>0.63</v>
      </c>
      <c r="CC25" s="162" t="n">
        <v>0.63</v>
      </c>
      <c r="CD25" s="181" t="n"/>
    </row>
    <row r="26">
      <c r="A26" s="83" t="n"/>
      <c r="B26" s="226" t="inlineStr">
        <is>
          <t>Biomass</t>
        </is>
      </c>
      <c r="C26" s="226" t="inlineStr">
        <is>
          <t>(p/kWh)</t>
        </is>
      </c>
      <c r="D26" s="161" t="n">
        <v>29.2</v>
      </c>
      <c r="E26" s="161" t="n">
        <v>29.2</v>
      </c>
      <c r="F26" s="161" t="n">
        <v>29.2</v>
      </c>
      <c r="G26" s="161" t="n">
        <v>29.2</v>
      </c>
      <c r="H26" s="161" t="n">
        <v>29.2</v>
      </c>
      <c r="I26" s="161" t="n">
        <v>29.2</v>
      </c>
      <c r="J26" s="161" t="n">
        <v>29.2</v>
      </c>
      <c r="K26" s="161" t="n">
        <v>29.2</v>
      </c>
      <c r="L26" s="161" t="n">
        <v>29.2</v>
      </c>
      <c r="M26" s="161" t="n">
        <v>29.2</v>
      </c>
      <c r="N26" s="161" t="n">
        <v>29.2</v>
      </c>
      <c r="O26" s="161" t="n">
        <v>29.2</v>
      </c>
      <c r="P26" s="161" t="n">
        <v>29.2</v>
      </c>
      <c r="Q26" s="161" t="n">
        <v>29.2</v>
      </c>
      <c r="R26" s="161" t="n">
        <v>29.2</v>
      </c>
      <c r="S26" s="161" t="n">
        <v>29.2</v>
      </c>
      <c r="T26" s="161" t="n">
        <v>29.2</v>
      </c>
      <c r="U26" s="161" t="n">
        <v>29.2</v>
      </c>
      <c r="V26" s="161" t="n">
        <v>29.2</v>
      </c>
      <c r="W26" s="161" t="n">
        <v>29.2</v>
      </c>
      <c r="X26" s="161" t="n">
        <v>29.2</v>
      </c>
      <c r="Y26" s="161" t="n">
        <v>29.2</v>
      </c>
      <c r="Z26" s="161" t="n">
        <v>29.2</v>
      </c>
      <c r="AA26" s="161" t="n">
        <v>29.2</v>
      </c>
      <c r="AB26" s="161" t="n">
        <v>29.2</v>
      </c>
      <c r="AC26" s="161" t="n">
        <v>29.2</v>
      </c>
      <c r="AD26" s="161" t="n">
        <v>29.2</v>
      </c>
      <c r="AE26" s="161" t="n">
        <v>29.2</v>
      </c>
      <c r="AF26" s="161" t="n">
        <v>29.2</v>
      </c>
      <c r="AG26" s="161" t="n">
        <v>29.2</v>
      </c>
      <c r="AH26" s="161" t="n">
        <v>29.2</v>
      </c>
      <c r="AI26" s="161" t="n">
        <v>29.2</v>
      </c>
      <c r="AJ26" s="161" t="n">
        <v>29.2</v>
      </c>
      <c r="AK26" s="161" t="n">
        <v>29.2</v>
      </c>
      <c r="AL26" s="161" t="n">
        <v>29.2</v>
      </c>
      <c r="AM26" s="161" t="n">
        <v>29.2</v>
      </c>
      <c r="AN26" s="161" t="n">
        <v>29.2</v>
      </c>
      <c r="AO26" s="161" t="n">
        <v>29.2</v>
      </c>
      <c r="AP26" s="161" t="n">
        <v>29.2</v>
      </c>
      <c r="AQ26" s="161" t="n">
        <v>29.2</v>
      </c>
      <c r="AR26" s="161" t="n">
        <v>29.2</v>
      </c>
      <c r="AS26" s="161" t="n">
        <v>29.2</v>
      </c>
      <c r="AT26" s="161" t="n">
        <v>29.2</v>
      </c>
      <c r="AU26" s="161" t="n">
        <v>29.2</v>
      </c>
      <c r="AV26" s="161" t="n">
        <v>29.2</v>
      </c>
      <c r="AW26" s="161" t="n">
        <v>29.2</v>
      </c>
      <c r="AX26" s="161" t="n">
        <v>29.2</v>
      </c>
      <c r="AY26" s="161" t="n">
        <v>29.2</v>
      </c>
      <c r="AZ26" s="161" t="n">
        <v>29.2</v>
      </c>
      <c r="BA26" s="161" t="n">
        <v>29.2</v>
      </c>
      <c r="BB26" s="161" t="n">
        <v>29.2</v>
      </c>
      <c r="BC26" s="161" t="n">
        <v>29.2</v>
      </c>
      <c r="BD26" s="161" t="n">
        <v>29.2</v>
      </c>
      <c r="BE26" s="161" t="n">
        <v>29.2</v>
      </c>
      <c r="BF26" s="161" t="n">
        <v>29.2</v>
      </c>
      <c r="BG26" s="161" t="n">
        <v>29.2</v>
      </c>
      <c r="BH26" s="161" t="n">
        <v>29.2</v>
      </c>
      <c r="BI26" s="161" t="n">
        <v>29.2</v>
      </c>
      <c r="BJ26" s="161" t="n">
        <v>29.2</v>
      </c>
      <c r="BK26" s="161" t="n">
        <v>29.2</v>
      </c>
      <c r="BL26" s="161" t="n">
        <v>29.2</v>
      </c>
      <c r="BM26" s="161" t="n">
        <v>29.2</v>
      </c>
      <c r="BN26" s="161" t="n">
        <v>29.2</v>
      </c>
      <c r="BO26" s="161" t="n">
        <v>29.2</v>
      </c>
      <c r="BP26" s="161" t="n">
        <v>29.2</v>
      </c>
      <c r="BQ26" s="161" t="n">
        <v>29.2</v>
      </c>
      <c r="BR26" s="161" t="n">
        <v>29.2</v>
      </c>
      <c r="BS26" s="161" t="n">
        <v>29.2</v>
      </c>
      <c r="BT26" s="161" t="n">
        <v>29.2</v>
      </c>
      <c r="BU26" s="161" t="n">
        <v>29.2</v>
      </c>
      <c r="BV26" s="161" t="n">
        <v>29.2</v>
      </c>
      <c r="BW26" s="161" t="n">
        <v>29.2</v>
      </c>
      <c r="BX26" s="161" t="n">
        <v>29.2</v>
      </c>
      <c r="BY26" s="161" t="n">
        <v>29.2</v>
      </c>
      <c r="BZ26" s="161" t="n">
        <v>29.2</v>
      </c>
      <c r="CA26" s="161" t="n">
        <v>29.2</v>
      </c>
      <c r="CB26" s="161" t="n">
        <v>29.2</v>
      </c>
      <c r="CC26" s="162" t="n">
        <v>29.2</v>
      </c>
      <c r="CD26" s="181" t="n"/>
    </row>
    <row r="27">
      <c r="A27" s="83" t="n"/>
      <c r="B27" s="226" t="inlineStr">
        <is>
          <t>LPG</t>
        </is>
      </c>
      <c r="C27" s="226" t="inlineStr">
        <is>
          <t>(p/kWh)</t>
        </is>
      </c>
      <c r="D27" s="170" t="inlineStr">
        <is>
          <t>N/A</t>
        </is>
      </c>
      <c r="E27" s="170" t="inlineStr">
        <is>
          <t>N/A</t>
        </is>
      </c>
      <c r="F27" s="170" t="inlineStr">
        <is>
          <t>N/A</t>
        </is>
      </c>
      <c r="G27" s="170" t="inlineStr">
        <is>
          <t>N/A</t>
        </is>
      </c>
      <c r="H27" s="170" t="inlineStr">
        <is>
          <t>N/A</t>
        </is>
      </c>
      <c r="I27" s="170" t="inlineStr">
        <is>
          <t>N/A</t>
        </is>
      </c>
      <c r="J27" s="170" t="inlineStr">
        <is>
          <t>N/A</t>
        </is>
      </c>
      <c r="K27" s="170" t="inlineStr">
        <is>
          <t>N/A</t>
        </is>
      </c>
      <c r="L27" s="170" t="inlineStr">
        <is>
          <t>N/A</t>
        </is>
      </c>
      <c r="M27" s="170" t="inlineStr">
        <is>
          <t>N/A</t>
        </is>
      </c>
      <c r="N27" s="170" t="inlineStr">
        <is>
          <t>N/A</t>
        </is>
      </c>
      <c r="O27" s="170" t="inlineStr">
        <is>
          <t>N/A</t>
        </is>
      </c>
      <c r="P27" s="170" t="inlineStr">
        <is>
          <t>N/A</t>
        </is>
      </c>
      <c r="Q27" s="170" t="inlineStr">
        <is>
          <t>N/A</t>
        </is>
      </c>
      <c r="R27" s="170" t="inlineStr">
        <is>
          <t>N/A</t>
        </is>
      </c>
      <c r="S27" s="170" t="inlineStr">
        <is>
          <t>N/A</t>
        </is>
      </c>
      <c r="T27" s="170" t="inlineStr">
        <is>
          <t>N/A</t>
        </is>
      </c>
      <c r="U27" s="170" t="inlineStr">
        <is>
          <t>N/A</t>
        </is>
      </c>
      <c r="V27" s="170" t="inlineStr">
        <is>
          <t>N/A</t>
        </is>
      </c>
      <c r="W27" s="170" t="inlineStr">
        <is>
          <t>N/A</t>
        </is>
      </c>
      <c r="X27" s="170" t="inlineStr">
        <is>
          <t>N/A</t>
        </is>
      </c>
      <c r="Y27" s="170" t="inlineStr">
        <is>
          <t>N/A</t>
        </is>
      </c>
      <c r="Z27" s="170" t="inlineStr">
        <is>
          <t>N/A</t>
        </is>
      </c>
      <c r="AA27" s="170" t="inlineStr">
        <is>
          <t>N/A</t>
        </is>
      </c>
      <c r="AB27" s="170" t="inlineStr">
        <is>
          <t>N/A</t>
        </is>
      </c>
      <c r="AC27" s="170" t="inlineStr">
        <is>
          <t>N/A</t>
        </is>
      </c>
      <c r="AD27" s="170" t="inlineStr">
        <is>
          <t>N/A</t>
        </is>
      </c>
      <c r="AE27" s="170" t="inlineStr">
        <is>
          <t>N/A</t>
        </is>
      </c>
      <c r="AF27" s="170" t="inlineStr">
        <is>
          <t>N/A</t>
        </is>
      </c>
      <c r="AG27" s="170" t="inlineStr">
        <is>
          <t>N/A</t>
        </is>
      </c>
      <c r="AH27" s="170" t="inlineStr">
        <is>
          <t>N/A</t>
        </is>
      </c>
      <c r="AI27" s="170" t="inlineStr">
        <is>
          <t>N/A</t>
        </is>
      </c>
      <c r="AJ27" s="170" t="inlineStr">
        <is>
          <t>N/A</t>
        </is>
      </c>
      <c r="AK27" s="170" t="inlineStr">
        <is>
          <t>N/A</t>
        </is>
      </c>
      <c r="AL27" s="170" t="inlineStr">
        <is>
          <t>N/A</t>
        </is>
      </c>
      <c r="AM27" s="170" t="inlineStr">
        <is>
          <t>N/A</t>
        </is>
      </c>
      <c r="AN27" s="170" t="inlineStr">
        <is>
          <t>N/A</t>
        </is>
      </c>
      <c r="AO27" s="170" t="inlineStr">
        <is>
          <t>N/A</t>
        </is>
      </c>
      <c r="AP27" s="170" t="inlineStr">
        <is>
          <t>N/A</t>
        </is>
      </c>
      <c r="AQ27" s="170" t="inlineStr">
        <is>
          <t>N/A</t>
        </is>
      </c>
      <c r="AR27" s="170" t="inlineStr">
        <is>
          <t>N/A</t>
        </is>
      </c>
      <c r="AS27" s="170" t="inlineStr">
        <is>
          <t>N/A</t>
        </is>
      </c>
      <c r="AT27" s="170" t="inlineStr">
        <is>
          <t>N/A</t>
        </is>
      </c>
      <c r="AU27" s="170" t="inlineStr">
        <is>
          <t>N/A</t>
        </is>
      </c>
      <c r="AV27" s="170" t="inlineStr">
        <is>
          <t>N/A</t>
        </is>
      </c>
      <c r="AW27" s="170" t="inlineStr">
        <is>
          <t>N/A</t>
        </is>
      </c>
      <c r="AX27" s="170" t="inlineStr">
        <is>
          <t>N/A</t>
        </is>
      </c>
      <c r="AY27" s="170" t="inlineStr">
        <is>
          <t>N/A</t>
        </is>
      </c>
      <c r="AZ27" s="170" t="inlineStr">
        <is>
          <t>N/A</t>
        </is>
      </c>
      <c r="BA27" s="170" t="inlineStr">
        <is>
          <t>N/A</t>
        </is>
      </c>
      <c r="BB27" s="170" t="inlineStr">
        <is>
          <t>N/A</t>
        </is>
      </c>
      <c r="BC27" s="170" t="inlineStr">
        <is>
          <t>N/A</t>
        </is>
      </c>
      <c r="BD27" s="170" t="inlineStr">
        <is>
          <t>N/A</t>
        </is>
      </c>
      <c r="BE27" s="170" t="inlineStr">
        <is>
          <t>N/A</t>
        </is>
      </c>
      <c r="BF27" s="170" t="inlineStr">
        <is>
          <t>N/A</t>
        </is>
      </c>
      <c r="BG27" s="170" t="inlineStr">
        <is>
          <t>N/A</t>
        </is>
      </c>
      <c r="BH27" s="170" t="inlineStr">
        <is>
          <t>N/A</t>
        </is>
      </c>
      <c r="BI27" s="170" t="inlineStr">
        <is>
          <t>N/A</t>
        </is>
      </c>
      <c r="BJ27" s="170" t="inlineStr">
        <is>
          <t>N/A</t>
        </is>
      </c>
      <c r="BK27" s="170" t="inlineStr">
        <is>
          <t>N/A</t>
        </is>
      </c>
      <c r="BL27" s="170" t="inlineStr">
        <is>
          <t>N/A</t>
        </is>
      </c>
      <c r="BM27" s="170" t="inlineStr">
        <is>
          <t>N/A</t>
        </is>
      </c>
      <c r="BN27" s="170" t="inlineStr">
        <is>
          <t>N/A</t>
        </is>
      </c>
      <c r="BO27" s="170" t="inlineStr">
        <is>
          <t>N/A</t>
        </is>
      </c>
      <c r="BP27" s="170" t="inlineStr">
        <is>
          <t>N/A</t>
        </is>
      </c>
      <c r="BQ27" s="170" t="inlineStr">
        <is>
          <t>N/A</t>
        </is>
      </c>
      <c r="BR27" s="170" t="inlineStr">
        <is>
          <t>N/A</t>
        </is>
      </c>
      <c r="BS27" s="170" t="inlineStr">
        <is>
          <t>N/A</t>
        </is>
      </c>
      <c r="BT27" s="170" t="inlineStr">
        <is>
          <t>N/A</t>
        </is>
      </c>
      <c r="BU27" s="170" t="inlineStr">
        <is>
          <t>N/A</t>
        </is>
      </c>
      <c r="BV27" s="170" t="inlineStr">
        <is>
          <t>N/A</t>
        </is>
      </c>
      <c r="BW27" s="170" t="inlineStr">
        <is>
          <t>N/A</t>
        </is>
      </c>
      <c r="BX27" s="170" t="inlineStr">
        <is>
          <t>N/A</t>
        </is>
      </c>
      <c r="BY27" s="170" t="inlineStr">
        <is>
          <t>N/A</t>
        </is>
      </c>
      <c r="BZ27" s="170" t="inlineStr">
        <is>
          <t>N/A</t>
        </is>
      </c>
      <c r="CA27" s="170" t="inlineStr">
        <is>
          <t>N/A</t>
        </is>
      </c>
      <c r="CB27" s="170" t="inlineStr">
        <is>
          <t>N/A</t>
        </is>
      </c>
      <c r="CC27" s="233" t="inlineStr">
        <is>
          <t>N/A</t>
        </is>
      </c>
      <c r="CD27" s="181" t="n"/>
    </row>
    <row r="28">
      <c r="A28" s="83" t="n"/>
      <c r="B28" s="226" t="inlineStr">
        <is>
          <t>Peat</t>
        </is>
      </c>
      <c r="C28" s="226" t="inlineStr">
        <is>
          <t>(p/kWh)</t>
        </is>
      </c>
      <c r="D28" s="170" t="inlineStr">
        <is>
          <t>N/A</t>
        </is>
      </c>
      <c r="E28" s="170" t="inlineStr">
        <is>
          <t>N/A</t>
        </is>
      </c>
      <c r="F28" s="170" t="inlineStr">
        <is>
          <t>N/A</t>
        </is>
      </c>
      <c r="G28" s="170" t="inlineStr">
        <is>
          <t>N/A</t>
        </is>
      </c>
      <c r="H28" s="170" t="inlineStr">
        <is>
          <t>N/A</t>
        </is>
      </c>
      <c r="I28" s="170" t="inlineStr">
        <is>
          <t>N/A</t>
        </is>
      </c>
      <c r="J28" s="170" t="inlineStr">
        <is>
          <t>N/A</t>
        </is>
      </c>
      <c r="K28" s="170" t="inlineStr">
        <is>
          <t>N/A</t>
        </is>
      </c>
      <c r="L28" s="170" t="inlineStr">
        <is>
          <t>N/A</t>
        </is>
      </c>
      <c r="M28" s="170" t="inlineStr">
        <is>
          <t>N/A</t>
        </is>
      </c>
      <c r="N28" s="170" t="inlineStr">
        <is>
          <t>N/A</t>
        </is>
      </c>
      <c r="O28" s="170" t="inlineStr">
        <is>
          <t>N/A</t>
        </is>
      </c>
      <c r="P28" s="170" t="inlineStr">
        <is>
          <t>N/A</t>
        </is>
      </c>
      <c r="Q28" s="170" t="inlineStr">
        <is>
          <t>N/A</t>
        </is>
      </c>
      <c r="R28" s="170" t="inlineStr">
        <is>
          <t>N/A</t>
        </is>
      </c>
      <c r="S28" s="170" t="inlineStr">
        <is>
          <t>N/A</t>
        </is>
      </c>
      <c r="T28" s="170" t="inlineStr">
        <is>
          <t>N/A</t>
        </is>
      </c>
      <c r="U28" s="170" t="inlineStr">
        <is>
          <t>N/A</t>
        </is>
      </c>
      <c r="V28" s="170" t="inlineStr">
        <is>
          <t>N/A</t>
        </is>
      </c>
      <c r="W28" s="170" t="inlineStr">
        <is>
          <t>N/A</t>
        </is>
      </c>
      <c r="X28" s="170" t="inlineStr">
        <is>
          <t>N/A</t>
        </is>
      </c>
      <c r="Y28" s="170" t="inlineStr">
        <is>
          <t>N/A</t>
        </is>
      </c>
      <c r="Z28" s="170" t="inlineStr">
        <is>
          <t>N/A</t>
        </is>
      </c>
      <c r="AA28" s="170" t="inlineStr">
        <is>
          <t>N/A</t>
        </is>
      </c>
      <c r="AB28" s="170" t="inlineStr">
        <is>
          <t>N/A</t>
        </is>
      </c>
      <c r="AC28" s="170" t="inlineStr">
        <is>
          <t>N/A</t>
        </is>
      </c>
      <c r="AD28" s="170" t="inlineStr">
        <is>
          <t>N/A</t>
        </is>
      </c>
      <c r="AE28" s="170" t="inlineStr">
        <is>
          <t>N/A</t>
        </is>
      </c>
      <c r="AF28" s="170" t="inlineStr">
        <is>
          <t>N/A</t>
        </is>
      </c>
      <c r="AG28" s="170" t="inlineStr">
        <is>
          <t>N/A</t>
        </is>
      </c>
      <c r="AH28" s="170" t="inlineStr">
        <is>
          <t>N/A</t>
        </is>
      </c>
      <c r="AI28" s="170" t="inlineStr">
        <is>
          <t>N/A</t>
        </is>
      </c>
      <c r="AJ28" s="170" t="inlineStr">
        <is>
          <t>N/A</t>
        </is>
      </c>
      <c r="AK28" s="170" t="inlineStr">
        <is>
          <t>N/A</t>
        </is>
      </c>
      <c r="AL28" s="170" t="inlineStr">
        <is>
          <t>N/A</t>
        </is>
      </c>
      <c r="AM28" s="170" t="inlineStr">
        <is>
          <t>N/A</t>
        </is>
      </c>
      <c r="AN28" s="170" t="inlineStr">
        <is>
          <t>N/A</t>
        </is>
      </c>
      <c r="AO28" s="170" t="inlineStr">
        <is>
          <t>N/A</t>
        </is>
      </c>
      <c r="AP28" s="170" t="inlineStr">
        <is>
          <t>N/A</t>
        </is>
      </c>
      <c r="AQ28" s="170" t="inlineStr">
        <is>
          <t>N/A</t>
        </is>
      </c>
      <c r="AR28" s="170" t="inlineStr">
        <is>
          <t>N/A</t>
        </is>
      </c>
      <c r="AS28" s="170" t="inlineStr">
        <is>
          <t>N/A</t>
        </is>
      </c>
      <c r="AT28" s="170" t="inlineStr">
        <is>
          <t>N/A</t>
        </is>
      </c>
      <c r="AU28" s="170" t="inlineStr">
        <is>
          <t>N/A</t>
        </is>
      </c>
      <c r="AV28" s="170" t="inlineStr">
        <is>
          <t>N/A</t>
        </is>
      </c>
      <c r="AW28" s="170" t="inlineStr">
        <is>
          <t>N/A</t>
        </is>
      </c>
      <c r="AX28" s="170" t="inlineStr">
        <is>
          <t>N/A</t>
        </is>
      </c>
      <c r="AY28" s="170" t="inlineStr">
        <is>
          <t>N/A</t>
        </is>
      </c>
      <c r="AZ28" s="170" t="inlineStr">
        <is>
          <t>N/A</t>
        </is>
      </c>
      <c r="BA28" s="170" t="inlineStr">
        <is>
          <t>N/A</t>
        </is>
      </c>
      <c r="BB28" s="170" t="inlineStr">
        <is>
          <t>N/A</t>
        </is>
      </c>
      <c r="BC28" s="170" t="inlineStr">
        <is>
          <t>N/A</t>
        </is>
      </c>
      <c r="BD28" s="170" t="inlineStr">
        <is>
          <t>N/A</t>
        </is>
      </c>
      <c r="BE28" s="170" t="inlineStr">
        <is>
          <t>N/A</t>
        </is>
      </c>
      <c r="BF28" s="170" t="inlineStr">
        <is>
          <t>N/A</t>
        </is>
      </c>
      <c r="BG28" s="170" t="inlineStr">
        <is>
          <t>N/A</t>
        </is>
      </c>
      <c r="BH28" s="170" t="inlineStr">
        <is>
          <t>N/A</t>
        </is>
      </c>
      <c r="BI28" s="170" t="inlineStr">
        <is>
          <t>N/A</t>
        </is>
      </c>
      <c r="BJ28" s="170" t="inlineStr">
        <is>
          <t>N/A</t>
        </is>
      </c>
      <c r="BK28" s="170" t="inlineStr">
        <is>
          <t>N/A</t>
        </is>
      </c>
      <c r="BL28" s="170" t="inlineStr">
        <is>
          <t>N/A</t>
        </is>
      </c>
      <c r="BM28" s="170" t="inlineStr">
        <is>
          <t>N/A</t>
        </is>
      </c>
      <c r="BN28" s="170" t="inlineStr">
        <is>
          <t>N/A</t>
        </is>
      </c>
      <c r="BO28" s="170" t="inlineStr">
        <is>
          <t>N/A</t>
        </is>
      </c>
      <c r="BP28" s="170" t="inlineStr">
        <is>
          <t>N/A</t>
        </is>
      </c>
      <c r="BQ28" s="170" t="inlineStr">
        <is>
          <t>N/A</t>
        </is>
      </c>
      <c r="BR28" s="170" t="inlineStr">
        <is>
          <t>N/A</t>
        </is>
      </c>
      <c r="BS28" s="170" t="inlineStr">
        <is>
          <t>N/A</t>
        </is>
      </c>
      <c r="BT28" s="170" t="inlineStr">
        <is>
          <t>N/A</t>
        </is>
      </c>
      <c r="BU28" s="170" t="inlineStr">
        <is>
          <t>N/A</t>
        </is>
      </c>
      <c r="BV28" s="170" t="inlineStr">
        <is>
          <t>N/A</t>
        </is>
      </c>
      <c r="BW28" s="170" t="inlineStr">
        <is>
          <t>N/A</t>
        </is>
      </c>
      <c r="BX28" s="170" t="inlineStr">
        <is>
          <t>N/A</t>
        </is>
      </c>
      <c r="BY28" s="170" t="inlineStr">
        <is>
          <t>N/A</t>
        </is>
      </c>
      <c r="BZ28" s="170" t="inlineStr">
        <is>
          <t>N/A</t>
        </is>
      </c>
      <c r="CA28" s="170" t="inlineStr">
        <is>
          <t>N/A</t>
        </is>
      </c>
      <c r="CB28" s="170" t="inlineStr">
        <is>
          <t>N/A</t>
        </is>
      </c>
      <c r="CC28" s="233" t="inlineStr">
        <is>
          <t>N/A</t>
        </is>
      </c>
      <c r="CD28" s="181" t="n"/>
    </row>
    <row r="29">
      <c r="A29" s="83" t="n"/>
      <c r="B29" s="226" t="inlineStr">
        <is>
          <t>Petroleum coke</t>
        </is>
      </c>
      <c r="C29" s="226" t="inlineStr">
        <is>
          <t>(p/kWh)</t>
        </is>
      </c>
      <c r="D29" s="165" t="n">
        <v>29.57</v>
      </c>
      <c r="E29" s="165" t="n">
        <v>29.57</v>
      </c>
      <c r="F29" s="165" t="n">
        <v>29.57</v>
      </c>
      <c r="G29" s="165" t="n">
        <v>29.57</v>
      </c>
      <c r="H29" s="165" t="n">
        <v>29.57</v>
      </c>
      <c r="I29" s="165" t="n">
        <v>29.57</v>
      </c>
      <c r="J29" s="165" t="n">
        <v>29.57</v>
      </c>
      <c r="K29" s="165" t="n">
        <v>29.57</v>
      </c>
      <c r="L29" s="165" t="n">
        <v>29.57</v>
      </c>
      <c r="M29" s="165" t="n">
        <v>29.57</v>
      </c>
      <c r="N29" s="165" t="n">
        <v>29.57</v>
      </c>
      <c r="O29" s="165" t="n">
        <v>29.57</v>
      </c>
      <c r="P29" s="165" t="n">
        <v>29.57</v>
      </c>
      <c r="Q29" s="165" t="n">
        <v>29.57</v>
      </c>
      <c r="R29" s="165" t="n">
        <v>29.57</v>
      </c>
      <c r="S29" s="165" t="n">
        <v>29.57</v>
      </c>
      <c r="T29" s="165" t="n">
        <v>29.57</v>
      </c>
      <c r="U29" s="165" t="n">
        <v>29.57</v>
      </c>
      <c r="V29" s="165" t="n">
        <v>29.57</v>
      </c>
      <c r="W29" s="165" t="n">
        <v>29.57</v>
      </c>
      <c r="X29" s="165" t="n">
        <v>29.57</v>
      </c>
      <c r="Y29" s="165" t="n">
        <v>29.57</v>
      </c>
      <c r="Z29" s="165" t="n">
        <v>29.57</v>
      </c>
      <c r="AA29" s="165" t="n">
        <v>29.57</v>
      </c>
      <c r="AB29" s="165" t="n">
        <v>29.57</v>
      </c>
      <c r="AC29" s="165" t="n">
        <v>29.57</v>
      </c>
      <c r="AD29" s="165" t="n">
        <v>29.57</v>
      </c>
      <c r="AE29" s="165" t="n">
        <v>29.57</v>
      </c>
      <c r="AF29" s="165" t="n">
        <v>29.57</v>
      </c>
      <c r="AG29" s="165" t="n">
        <v>29.57</v>
      </c>
      <c r="AH29" s="165" t="n">
        <v>29.57</v>
      </c>
      <c r="AI29" s="165" t="n">
        <v>29.57</v>
      </c>
      <c r="AJ29" s="165" t="n">
        <v>29.57</v>
      </c>
      <c r="AK29" s="165" t="n">
        <v>29.57</v>
      </c>
      <c r="AL29" s="165" t="n">
        <v>29.57</v>
      </c>
      <c r="AM29" s="165" t="n">
        <v>29.57</v>
      </c>
      <c r="AN29" s="165" t="n">
        <v>29.57</v>
      </c>
      <c r="AO29" s="165" t="n">
        <v>29.57</v>
      </c>
      <c r="AP29" s="165" t="n">
        <v>29.57</v>
      </c>
      <c r="AQ29" s="165" t="n">
        <v>29.57</v>
      </c>
      <c r="AR29" s="165" t="n">
        <v>29.57</v>
      </c>
      <c r="AS29" s="165" t="n">
        <v>29.57</v>
      </c>
      <c r="AT29" s="165" t="n">
        <v>29.57</v>
      </c>
      <c r="AU29" s="165" t="n">
        <v>29.57</v>
      </c>
      <c r="AV29" s="165" t="n">
        <v>29.57</v>
      </c>
      <c r="AW29" s="165" t="n">
        <v>29.57</v>
      </c>
      <c r="AX29" s="165" t="n">
        <v>29.57</v>
      </c>
      <c r="AY29" s="165" t="n">
        <v>29.57</v>
      </c>
      <c r="AZ29" s="165" t="n">
        <v>29.57</v>
      </c>
      <c r="BA29" s="165" t="n">
        <v>29.57</v>
      </c>
      <c r="BB29" s="165" t="n">
        <v>29.57</v>
      </c>
      <c r="BC29" s="165" t="n">
        <v>29.57</v>
      </c>
      <c r="BD29" s="165" t="n">
        <v>29.57</v>
      </c>
      <c r="BE29" s="165" t="n">
        <v>29.57</v>
      </c>
      <c r="BF29" s="165" t="n">
        <v>29.57</v>
      </c>
      <c r="BG29" s="165" t="n">
        <v>29.57</v>
      </c>
      <c r="BH29" s="165" t="n">
        <v>29.57</v>
      </c>
      <c r="BI29" s="165" t="n">
        <v>29.57</v>
      </c>
      <c r="BJ29" s="165" t="n">
        <v>29.57</v>
      </c>
      <c r="BK29" s="165" t="n">
        <v>29.57</v>
      </c>
      <c r="BL29" s="165" t="n">
        <v>29.57</v>
      </c>
      <c r="BM29" s="165" t="n">
        <v>29.57</v>
      </c>
      <c r="BN29" s="165" t="n">
        <v>29.57</v>
      </c>
      <c r="BO29" s="165" t="n">
        <v>29.57</v>
      </c>
      <c r="BP29" s="165" t="n">
        <v>29.57</v>
      </c>
      <c r="BQ29" s="165" t="n">
        <v>29.57</v>
      </c>
      <c r="BR29" s="165" t="n">
        <v>29.57</v>
      </c>
      <c r="BS29" s="165" t="n">
        <v>29.57</v>
      </c>
      <c r="BT29" s="165" t="n">
        <v>29.57</v>
      </c>
      <c r="BU29" s="165" t="n">
        <v>29.57</v>
      </c>
      <c r="BV29" s="165" t="n">
        <v>29.57</v>
      </c>
      <c r="BW29" s="165" t="n">
        <v>29.57</v>
      </c>
      <c r="BX29" s="165" t="n">
        <v>29.57</v>
      </c>
      <c r="BY29" s="165" t="n">
        <v>29.57</v>
      </c>
      <c r="BZ29" s="165" t="n">
        <v>29.57</v>
      </c>
      <c r="CA29" s="165" t="n">
        <v>29.57</v>
      </c>
      <c r="CB29" s="165" t="n">
        <v>29.57</v>
      </c>
      <c r="CC29" s="166" t="n">
        <v>29.57</v>
      </c>
      <c r="CD29" s="181" t="n"/>
    </row>
    <row r="30">
      <c r="A30" s="83" t="n"/>
      <c r="B30" s="169" t="n"/>
      <c r="C30" s="169" t="n"/>
      <c r="D30" s="231" t="n"/>
      <c r="E30" s="231" t="n"/>
      <c r="F30" s="231" t="n"/>
      <c r="G30" s="231" t="n"/>
      <c r="H30" s="231" t="n"/>
      <c r="I30" s="231" t="n"/>
      <c r="J30" s="231" t="n"/>
      <c r="K30" s="231" t="n"/>
      <c r="L30" s="231" t="n"/>
      <c r="M30" s="231" t="n"/>
      <c r="N30" s="231" t="n"/>
      <c r="O30" s="231" t="n"/>
      <c r="P30" s="231" t="n"/>
      <c r="Q30" s="231" t="n"/>
      <c r="R30" s="231" t="n"/>
      <c r="S30" s="231" t="n"/>
      <c r="T30" s="231" t="n"/>
      <c r="U30" s="231" t="n"/>
      <c r="V30" s="231" t="n"/>
      <c r="W30" s="231" t="n"/>
      <c r="X30" s="231" t="n"/>
      <c r="Y30" s="231" t="n"/>
      <c r="Z30" s="231" t="n"/>
      <c r="AA30" s="231" t="n"/>
      <c r="AB30" s="231" t="n"/>
      <c r="AC30" s="231" t="n"/>
      <c r="AD30" s="231" t="n"/>
      <c r="AE30" s="231" t="n"/>
      <c r="AF30" s="231" t="n"/>
      <c r="AG30" s="231" t="n"/>
      <c r="AH30" s="231" t="n"/>
      <c r="AI30" s="231" t="n"/>
      <c r="AJ30" s="231" t="n"/>
      <c r="AK30" s="231" t="n"/>
      <c r="AL30" s="231" t="n"/>
      <c r="AM30" s="231" t="n"/>
      <c r="AN30" s="231" t="n"/>
      <c r="AO30" s="231" t="n"/>
      <c r="AP30" s="231" t="n"/>
      <c r="AQ30" s="231" t="n"/>
      <c r="AR30" s="231" t="n"/>
      <c r="AS30" s="231" t="n"/>
      <c r="AT30" s="231" t="n"/>
      <c r="AU30" s="231" t="n"/>
      <c r="AV30" s="231" t="n"/>
      <c r="AW30" s="231" t="n"/>
      <c r="AX30" s="231" t="n"/>
      <c r="AY30" s="231" t="n"/>
      <c r="AZ30" s="231" t="n"/>
      <c r="BA30" s="231" t="n"/>
      <c r="BB30" s="231" t="n"/>
      <c r="BC30" s="231" t="n"/>
      <c r="BD30" s="231" t="n"/>
      <c r="BE30" s="231" t="n"/>
      <c r="BF30" s="231" t="n"/>
      <c r="BG30" s="231" t="n"/>
      <c r="BH30" s="231" t="n"/>
      <c r="BI30" s="231" t="n"/>
      <c r="BJ30" s="231" t="n"/>
      <c r="BK30" s="231" t="n"/>
      <c r="BL30" s="231" t="n"/>
      <c r="BM30" s="231" t="n"/>
      <c r="BN30" s="231" t="n"/>
      <c r="BO30" s="231" t="n"/>
      <c r="BP30" s="231" t="n"/>
      <c r="BQ30" s="231" t="n"/>
      <c r="BR30" s="231" t="n"/>
      <c r="BS30" s="231" t="n"/>
      <c r="BT30" s="231" t="n"/>
      <c r="BU30" s="231" t="n"/>
      <c r="BV30" s="231" t="n"/>
      <c r="BW30" s="231" t="n"/>
      <c r="BX30" s="231" t="n"/>
      <c r="BY30" s="231" t="n"/>
      <c r="BZ30" s="231" t="n"/>
      <c r="CA30" s="231" t="n"/>
      <c r="CB30" s="231" t="n"/>
      <c r="CC30" s="231" t="n"/>
      <c r="CD30" s="169" t="n"/>
    </row>
    <row r="31">
      <c r="A31" s="83" t="n"/>
      <c r="B31" s="224" t="inlineStr">
        <is>
          <t>DOMESTIC: Urban big</t>
        </is>
      </c>
      <c r="C31" s="225" t="n"/>
      <c r="D31" s="167" t="n"/>
      <c r="E31" s="167" t="n"/>
      <c r="F31" s="167" t="n"/>
      <c r="G31" s="167" t="n"/>
      <c r="H31" s="167" t="n"/>
      <c r="I31" s="167" t="n"/>
      <c r="J31" s="167" t="n"/>
      <c r="K31" s="167" t="n"/>
      <c r="L31" s="167" t="n"/>
      <c r="M31" s="167" t="n"/>
      <c r="N31" s="167" t="n"/>
      <c r="O31" s="167" t="n"/>
      <c r="P31" s="167" t="n"/>
      <c r="Q31" s="167" t="n"/>
      <c r="R31" s="167" t="n"/>
      <c r="S31" s="167" t="n"/>
      <c r="T31" s="167" t="n"/>
      <c r="U31" s="167" t="n"/>
      <c r="V31" s="167" t="n"/>
      <c r="W31" s="167" t="n"/>
      <c r="X31" s="167" t="n"/>
      <c r="Y31" s="167" t="n"/>
      <c r="Z31" s="167" t="n"/>
      <c r="AA31" s="167" t="n"/>
      <c r="AB31" s="167" t="n"/>
      <c r="AC31" s="167" t="n"/>
      <c r="AD31" s="167" t="n"/>
      <c r="AE31" s="167" t="n"/>
      <c r="AF31" s="167" t="n"/>
      <c r="AG31" s="167" t="n"/>
      <c r="AH31" s="167" t="n"/>
      <c r="AI31" s="167" t="n"/>
      <c r="AJ31" s="167" t="n"/>
      <c r="AK31" s="167" t="n"/>
      <c r="AL31" s="167" t="n"/>
      <c r="AM31" s="167" t="n"/>
      <c r="AN31" s="167" t="n"/>
      <c r="AO31" s="167" t="n"/>
      <c r="AP31" s="167" t="n"/>
      <c r="AQ31" s="167" t="n"/>
      <c r="AR31" s="167" t="n"/>
      <c r="AS31" s="167" t="n"/>
      <c r="AT31" s="167" t="n"/>
      <c r="AU31" s="167" t="n"/>
      <c r="AV31" s="167" t="n"/>
      <c r="AW31" s="167" t="n"/>
      <c r="AX31" s="167" t="n"/>
      <c r="AY31" s="167" t="n"/>
      <c r="AZ31" s="167" t="n"/>
      <c r="BA31" s="167" t="n"/>
      <c r="BB31" s="167" t="n"/>
      <c r="BC31" s="167" t="n"/>
      <c r="BD31" s="167" t="n"/>
      <c r="BE31" s="167" t="n"/>
      <c r="BF31" s="167" t="n"/>
      <c r="BG31" s="167" t="n"/>
      <c r="BH31" s="167" t="n"/>
      <c r="BI31" s="167" t="n"/>
      <c r="BJ31" s="167" t="n"/>
      <c r="BK31" s="167" t="n"/>
      <c r="BL31" s="167" t="n"/>
      <c r="BM31" s="167" t="n"/>
      <c r="BN31" s="167" t="n"/>
      <c r="BO31" s="167" t="n"/>
      <c r="BP31" s="167" t="n"/>
      <c r="BQ31" s="167" t="n"/>
      <c r="BR31" s="167" t="n"/>
      <c r="BS31" s="167" t="n"/>
      <c r="BT31" s="167" t="n"/>
      <c r="BU31" s="167" t="n"/>
      <c r="BV31" s="167" t="n"/>
      <c r="BW31" s="167" t="n"/>
      <c r="BX31" s="167" t="n"/>
      <c r="BY31" s="167" t="n"/>
      <c r="BZ31" s="167" t="n"/>
      <c r="CA31" s="167" t="n"/>
      <c r="CB31" s="167" t="n"/>
      <c r="CC31" s="232" t="n"/>
      <c r="CD31" s="181" t="n"/>
    </row>
    <row r="32">
      <c r="A32" s="83" t="n"/>
      <c r="B32" s="226" t="inlineStr">
        <is>
          <t>Gas</t>
        </is>
      </c>
      <c r="C32" s="226" t="inlineStr">
        <is>
          <t>(p/kWh)</t>
        </is>
      </c>
      <c r="D32" s="161" t="n">
        <v>0.14</v>
      </c>
      <c r="E32" s="161" t="n">
        <v>0.14</v>
      </c>
      <c r="F32" s="161" t="n">
        <v>0.14</v>
      </c>
      <c r="G32" s="161" t="n">
        <v>0.14</v>
      </c>
      <c r="H32" s="161" t="n">
        <v>0.14</v>
      </c>
      <c r="I32" s="161" t="n">
        <v>0.14</v>
      </c>
      <c r="J32" s="161" t="n">
        <v>0.14</v>
      </c>
      <c r="K32" s="161" t="n">
        <v>0.14</v>
      </c>
      <c r="L32" s="161" t="n">
        <v>0.14</v>
      </c>
      <c r="M32" s="161" t="n">
        <v>0.14</v>
      </c>
      <c r="N32" s="161" t="n">
        <v>0.14</v>
      </c>
      <c r="O32" s="161" t="n">
        <v>0.14</v>
      </c>
      <c r="P32" s="161" t="n">
        <v>0.14</v>
      </c>
      <c r="Q32" s="161" t="n">
        <v>0.14</v>
      </c>
      <c r="R32" s="161" t="n">
        <v>0.14</v>
      </c>
      <c r="S32" s="161" t="n">
        <v>0.14</v>
      </c>
      <c r="T32" s="161" t="n">
        <v>0.14</v>
      </c>
      <c r="U32" s="161" t="n">
        <v>0.14</v>
      </c>
      <c r="V32" s="161" t="n">
        <v>0.14</v>
      </c>
      <c r="W32" s="161" t="n">
        <v>0.14</v>
      </c>
      <c r="X32" s="161" t="n">
        <v>0.14</v>
      </c>
      <c r="Y32" s="161" t="n">
        <v>0.14</v>
      </c>
      <c r="Z32" s="161" t="n">
        <v>0.14</v>
      </c>
      <c r="AA32" s="161" t="n">
        <v>0.14</v>
      </c>
      <c r="AB32" s="161" t="n">
        <v>0.14</v>
      </c>
      <c r="AC32" s="161" t="n">
        <v>0.14</v>
      </c>
      <c r="AD32" s="161" t="n">
        <v>0.14</v>
      </c>
      <c r="AE32" s="161" t="n">
        <v>0.14</v>
      </c>
      <c r="AF32" s="161" t="n">
        <v>0.14</v>
      </c>
      <c r="AG32" s="161" t="n">
        <v>0.14</v>
      </c>
      <c r="AH32" s="161" t="n">
        <v>0.14</v>
      </c>
      <c r="AI32" s="161" t="n">
        <v>0.14</v>
      </c>
      <c r="AJ32" s="161" t="n">
        <v>0.14</v>
      </c>
      <c r="AK32" s="161" t="n">
        <v>0.14</v>
      </c>
      <c r="AL32" s="161" t="n">
        <v>0.14</v>
      </c>
      <c r="AM32" s="161" t="n">
        <v>0.14</v>
      </c>
      <c r="AN32" s="161" t="n">
        <v>0.14</v>
      </c>
      <c r="AO32" s="161" t="n">
        <v>0.14</v>
      </c>
      <c r="AP32" s="161" t="n">
        <v>0.14</v>
      </c>
      <c r="AQ32" s="161" t="n">
        <v>0.14</v>
      </c>
      <c r="AR32" s="161" t="n">
        <v>0.14</v>
      </c>
      <c r="AS32" s="161" t="n">
        <v>0.14</v>
      </c>
      <c r="AT32" s="161" t="n">
        <v>0.14</v>
      </c>
      <c r="AU32" s="161" t="n">
        <v>0.14</v>
      </c>
      <c r="AV32" s="161" t="n">
        <v>0.14</v>
      </c>
      <c r="AW32" s="161" t="n">
        <v>0.14</v>
      </c>
      <c r="AX32" s="161" t="n">
        <v>0.14</v>
      </c>
      <c r="AY32" s="161" t="n">
        <v>0.14</v>
      </c>
      <c r="AZ32" s="161" t="n">
        <v>0.14</v>
      </c>
      <c r="BA32" s="161" t="n">
        <v>0.14</v>
      </c>
      <c r="BB32" s="161" t="n">
        <v>0.14</v>
      </c>
      <c r="BC32" s="161" t="n">
        <v>0.14</v>
      </c>
      <c r="BD32" s="161" t="n">
        <v>0.14</v>
      </c>
      <c r="BE32" s="161" t="n">
        <v>0.14</v>
      </c>
      <c r="BF32" s="161" t="n">
        <v>0.14</v>
      </c>
      <c r="BG32" s="161" t="n">
        <v>0.14</v>
      </c>
      <c r="BH32" s="161" t="n">
        <v>0.14</v>
      </c>
      <c r="BI32" s="161" t="n">
        <v>0.14</v>
      </c>
      <c r="BJ32" s="161" t="n">
        <v>0.14</v>
      </c>
      <c r="BK32" s="161" t="n">
        <v>0.14</v>
      </c>
      <c r="BL32" s="161" t="n">
        <v>0.14</v>
      </c>
      <c r="BM32" s="161" t="n">
        <v>0.14</v>
      </c>
      <c r="BN32" s="161" t="n">
        <v>0.14</v>
      </c>
      <c r="BO32" s="161" t="n">
        <v>0.14</v>
      </c>
      <c r="BP32" s="161" t="n">
        <v>0.14</v>
      </c>
      <c r="BQ32" s="161" t="n">
        <v>0.14</v>
      </c>
      <c r="BR32" s="161" t="n">
        <v>0.14</v>
      </c>
      <c r="BS32" s="161" t="n">
        <v>0.14</v>
      </c>
      <c r="BT32" s="161" t="n">
        <v>0.14</v>
      </c>
      <c r="BU32" s="161" t="n">
        <v>0.14</v>
      </c>
      <c r="BV32" s="161" t="n">
        <v>0.14</v>
      </c>
      <c r="BW32" s="161" t="n">
        <v>0.14</v>
      </c>
      <c r="BX32" s="161" t="n">
        <v>0.14</v>
      </c>
      <c r="BY32" s="161" t="n">
        <v>0.14</v>
      </c>
      <c r="BZ32" s="161" t="n">
        <v>0.14</v>
      </c>
      <c r="CA32" s="161" t="n">
        <v>0.14</v>
      </c>
      <c r="CB32" s="161" t="n">
        <v>0.14</v>
      </c>
      <c r="CC32" s="162" t="n">
        <v>0.14</v>
      </c>
      <c r="CD32" s="181" t="n"/>
    </row>
    <row r="33">
      <c r="A33" s="83" t="n"/>
      <c r="B33" s="226" t="inlineStr">
        <is>
          <t>Coal</t>
        </is>
      </c>
      <c r="C33" s="226" t="inlineStr">
        <is>
          <t>(p/kWh)</t>
        </is>
      </c>
      <c r="D33" s="161" t="n">
        <v>9.619999999999999</v>
      </c>
      <c r="E33" s="161" t="n">
        <v>9.619999999999999</v>
      </c>
      <c r="F33" s="161" t="n">
        <v>9.619999999999999</v>
      </c>
      <c r="G33" s="161" t="n">
        <v>9.619999999999999</v>
      </c>
      <c r="H33" s="161" t="n">
        <v>9.619999999999999</v>
      </c>
      <c r="I33" s="161" t="n">
        <v>9.619999999999999</v>
      </c>
      <c r="J33" s="161" t="n">
        <v>9.619999999999999</v>
      </c>
      <c r="K33" s="161" t="n">
        <v>9.619999999999999</v>
      </c>
      <c r="L33" s="161" t="n">
        <v>9.619999999999999</v>
      </c>
      <c r="M33" s="161" t="n">
        <v>9.619999999999999</v>
      </c>
      <c r="N33" s="161" t="n">
        <v>9.619999999999999</v>
      </c>
      <c r="O33" s="161" t="n">
        <v>9.619999999999999</v>
      </c>
      <c r="P33" s="161" t="n">
        <v>9.619999999999999</v>
      </c>
      <c r="Q33" s="161" t="n">
        <v>9.619999999999999</v>
      </c>
      <c r="R33" s="161" t="n">
        <v>9.619999999999999</v>
      </c>
      <c r="S33" s="161" t="n">
        <v>9.619999999999999</v>
      </c>
      <c r="T33" s="161" t="n">
        <v>9.619999999999999</v>
      </c>
      <c r="U33" s="161" t="n">
        <v>9.619999999999999</v>
      </c>
      <c r="V33" s="161" t="n">
        <v>9.619999999999999</v>
      </c>
      <c r="W33" s="161" t="n">
        <v>9.619999999999999</v>
      </c>
      <c r="X33" s="161" t="n">
        <v>9.619999999999999</v>
      </c>
      <c r="Y33" s="161" t="n">
        <v>9.619999999999999</v>
      </c>
      <c r="Z33" s="161" t="n">
        <v>9.619999999999999</v>
      </c>
      <c r="AA33" s="161" t="n">
        <v>9.619999999999999</v>
      </c>
      <c r="AB33" s="161" t="n">
        <v>9.619999999999999</v>
      </c>
      <c r="AC33" s="161" t="n">
        <v>9.619999999999999</v>
      </c>
      <c r="AD33" s="161" t="n">
        <v>9.619999999999999</v>
      </c>
      <c r="AE33" s="161" t="n">
        <v>9.619999999999999</v>
      </c>
      <c r="AF33" s="161" t="n">
        <v>9.619999999999999</v>
      </c>
      <c r="AG33" s="161" t="n">
        <v>9.619999999999999</v>
      </c>
      <c r="AH33" s="161" t="n">
        <v>9.619999999999999</v>
      </c>
      <c r="AI33" s="161" t="n">
        <v>9.619999999999999</v>
      </c>
      <c r="AJ33" s="161" t="n">
        <v>9.619999999999999</v>
      </c>
      <c r="AK33" s="161" t="n">
        <v>9.619999999999999</v>
      </c>
      <c r="AL33" s="161" t="n">
        <v>9.619999999999999</v>
      </c>
      <c r="AM33" s="161" t="n">
        <v>9.619999999999999</v>
      </c>
      <c r="AN33" s="161" t="n">
        <v>9.619999999999999</v>
      </c>
      <c r="AO33" s="161" t="n">
        <v>9.619999999999999</v>
      </c>
      <c r="AP33" s="161" t="n">
        <v>9.619999999999999</v>
      </c>
      <c r="AQ33" s="161" t="n">
        <v>9.619999999999999</v>
      </c>
      <c r="AR33" s="161" t="n">
        <v>9.619999999999999</v>
      </c>
      <c r="AS33" s="161" t="n">
        <v>9.619999999999999</v>
      </c>
      <c r="AT33" s="161" t="n">
        <v>9.619999999999999</v>
      </c>
      <c r="AU33" s="161" t="n">
        <v>9.619999999999999</v>
      </c>
      <c r="AV33" s="161" t="n">
        <v>9.619999999999999</v>
      </c>
      <c r="AW33" s="161" t="n">
        <v>9.619999999999999</v>
      </c>
      <c r="AX33" s="161" t="n">
        <v>9.619999999999999</v>
      </c>
      <c r="AY33" s="161" t="n">
        <v>9.619999999999999</v>
      </c>
      <c r="AZ33" s="161" t="n">
        <v>9.619999999999999</v>
      </c>
      <c r="BA33" s="161" t="n">
        <v>9.619999999999999</v>
      </c>
      <c r="BB33" s="161" t="n">
        <v>9.619999999999999</v>
      </c>
      <c r="BC33" s="161" t="n">
        <v>9.619999999999999</v>
      </c>
      <c r="BD33" s="161" t="n">
        <v>9.619999999999999</v>
      </c>
      <c r="BE33" s="161" t="n">
        <v>9.619999999999999</v>
      </c>
      <c r="BF33" s="161" t="n">
        <v>9.619999999999999</v>
      </c>
      <c r="BG33" s="161" t="n">
        <v>9.619999999999999</v>
      </c>
      <c r="BH33" s="161" t="n">
        <v>9.619999999999999</v>
      </c>
      <c r="BI33" s="161" t="n">
        <v>9.619999999999999</v>
      </c>
      <c r="BJ33" s="161" t="n">
        <v>9.619999999999999</v>
      </c>
      <c r="BK33" s="161" t="n">
        <v>9.619999999999999</v>
      </c>
      <c r="BL33" s="161" t="n">
        <v>9.619999999999999</v>
      </c>
      <c r="BM33" s="161" t="n">
        <v>9.619999999999999</v>
      </c>
      <c r="BN33" s="161" t="n">
        <v>9.619999999999999</v>
      </c>
      <c r="BO33" s="161" t="n">
        <v>9.619999999999999</v>
      </c>
      <c r="BP33" s="161" t="n">
        <v>9.619999999999999</v>
      </c>
      <c r="BQ33" s="161" t="n">
        <v>9.619999999999999</v>
      </c>
      <c r="BR33" s="161" t="n">
        <v>9.619999999999999</v>
      </c>
      <c r="BS33" s="161" t="n">
        <v>9.619999999999999</v>
      </c>
      <c r="BT33" s="161" t="n">
        <v>9.619999999999999</v>
      </c>
      <c r="BU33" s="161" t="n">
        <v>9.619999999999999</v>
      </c>
      <c r="BV33" s="161" t="n">
        <v>9.619999999999999</v>
      </c>
      <c r="BW33" s="161" t="n">
        <v>9.619999999999999</v>
      </c>
      <c r="BX33" s="161" t="n">
        <v>9.619999999999999</v>
      </c>
      <c r="BY33" s="161" t="n">
        <v>9.619999999999999</v>
      </c>
      <c r="BZ33" s="161" t="n">
        <v>9.619999999999999</v>
      </c>
      <c r="CA33" s="161" t="n">
        <v>9.619999999999999</v>
      </c>
      <c r="CB33" s="161" t="n">
        <v>9.619999999999999</v>
      </c>
      <c r="CC33" s="162" t="n">
        <v>9.619999999999999</v>
      </c>
      <c r="CD33" s="181" t="n"/>
    </row>
    <row r="34">
      <c r="A34" s="83" t="n"/>
      <c r="B34" s="226" t="inlineStr">
        <is>
          <t>Burning oil</t>
        </is>
      </c>
      <c r="C34" s="226" t="inlineStr">
        <is>
          <t>(p/kWh)</t>
        </is>
      </c>
      <c r="D34" s="161" t="n">
        <v>0.3</v>
      </c>
      <c r="E34" s="161" t="n">
        <v>0.3</v>
      </c>
      <c r="F34" s="161" t="n">
        <v>0.3</v>
      </c>
      <c r="G34" s="161" t="n">
        <v>0.3</v>
      </c>
      <c r="H34" s="161" t="n">
        <v>0.3</v>
      </c>
      <c r="I34" s="161" t="n">
        <v>0.3</v>
      </c>
      <c r="J34" s="161" t="n">
        <v>0.3</v>
      </c>
      <c r="K34" s="161" t="n">
        <v>0.3</v>
      </c>
      <c r="L34" s="161" t="n">
        <v>0.3</v>
      </c>
      <c r="M34" s="161" t="n">
        <v>0.3</v>
      </c>
      <c r="N34" s="161" t="n">
        <v>0.3</v>
      </c>
      <c r="O34" s="161" t="n">
        <v>0.3</v>
      </c>
      <c r="P34" s="161" t="n">
        <v>0.3</v>
      </c>
      <c r="Q34" s="161" t="n">
        <v>0.3</v>
      </c>
      <c r="R34" s="161" t="n">
        <v>0.3</v>
      </c>
      <c r="S34" s="161" t="n">
        <v>0.3</v>
      </c>
      <c r="T34" s="161" t="n">
        <v>0.3</v>
      </c>
      <c r="U34" s="161" t="n">
        <v>0.3</v>
      </c>
      <c r="V34" s="161" t="n">
        <v>0.3</v>
      </c>
      <c r="W34" s="161" t="n">
        <v>0.3</v>
      </c>
      <c r="X34" s="161" t="n">
        <v>0.3</v>
      </c>
      <c r="Y34" s="161" t="n">
        <v>0.3</v>
      </c>
      <c r="Z34" s="161" t="n">
        <v>0.3</v>
      </c>
      <c r="AA34" s="161" t="n">
        <v>0.3</v>
      </c>
      <c r="AB34" s="161" t="n">
        <v>0.3</v>
      </c>
      <c r="AC34" s="161" t="n">
        <v>0.3</v>
      </c>
      <c r="AD34" s="161" t="n">
        <v>0.3</v>
      </c>
      <c r="AE34" s="161" t="n">
        <v>0.3</v>
      </c>
      <c r="AF34" s="161" t="n">
        <v>0.3</v>
      </c>
      <c r="AG34" s="161" t="n">
        <v>0.3</v>
      </c>
      <c r="AH34" s="161" t="n">
        <v>0.3</v>
      </c>
      <c r="AI34" s="161" t="n">
        <v>0.3</v>
      </c>
      <c r="AJ34" s="161" t="n">
        <v>0.3</v>
      </c>
      <c r="AK34" s="161" t="n">
        <v>0.3</v>
      </c>
      <c r="AL34" s="161" t="n">
        <v>0.3</v>
      </c>
      <c r="AM34" s="161" t="n">
        <v>0.3</v>
      </c>
      <c r="AN34" s="161" t="n">
        <v>0.3</v>
      </c>
      <c r="AO34" s="161" t="n">
        <v>0.3</v>
      </c>
      <c r="AP34" s="161" t="n">
        <v>0.3</v>
      </c>
      <c r="AQ34" s="161" t="n">
        <v>0.3</v>
      </c>
      <c r="AR34" s="161" t="n">
        <v>0.3</v>
      </c>
      <c r="AS34" s="161" t="n">
        <v>0.3</v>
      </c>
      <c r="AT34" s="161" t="n">
        <v>0.3</v>
      </c>
      <c r="AU34" s="161" t="n">
        <v>0.3</v>
      </c>
      <c r="AV34" s="161" t="n">
        <v>0.3</v>
      </c>
      <c r="AW34" s="161" t="n">
        <v>0.3</v>
      </c>
      <c r="AX34" s="161" t="n">
        <v>0.3</v>
      </c>
      <c r="AY34" s="161" t="n">
        <v>0.3</v>
      </c>
      <c r="AZ34" s="161" t="n">
        <v>0.3</v>
      </c>
      <c r="BA34" s="161" t="n">
        <v>0.3</v>
      </c>
      <c r="BB34" s="161" t="n">
        <v>0.3</v>
      </c>
      <c r="BC34" s="161" t="n">
        <v>0.3</v>
      </c>
      <c r="BD34" s="161" t="n">
        <v>0.3</v>
      </c>
      <c r="BE34" s="161" t="n">
        <v>0.3</v>
      </c>
      <c r="BF34" s="161" t="n">
        <v>0.3</v>
      </c>
      <c r="BG34" s="161" t="n">
        <v>0.3</v>
      </c>
      <c r="BH34" s="161" t="n">
        <v>0.3</v>
      </c>
      <c r="BI34" s="161" t="n">
        <v>0.3</v>
      </c>
      <c r="BJ34" s="161" t="n">
        <v>0.3</v>
      </c>
      <c r="BK34" s="161" t="n">
        <v>0.3</v>
      </c>
      <c r="BL34" s="161" t="n">
        <v>0.3</v>
      </c>
      <c r="BM34" s="161" t="n">
        <v>0.3</v>
      </c>
      <c r="BN34" s="161" t="n">
        <v>0.3</v>
      </c>
      <c r="BO34" s="161" t="n">
        <v>0.3</v>
      </c>
      <c r="BP34" s="161" t="n">
        <v>0.3</v>
      </c>
      <c r="BQ34" s="161" t="n">
        <v>0.3</v>
      </c>
      <c r="BR34" s="161" t="n">
        <v>0.3</v>
      </c>
      <c r="BS34" s="161" t="n">
        <v>0.3</v>
      </c>
      <c r="BT34" s="161" t="n">
        <v>0.3</v>
      </c>
      <c r="BU34" s="161" t="n">
        <v>0.3</v>
      </c>
      <c r="BV34" s="161" t="n">
        <v>0.3</v>
      </c>
      <c r="BW34" s="161" t="n">
        <v>0.3</v>
      </c>
      <c r="BX34" s="161" t="n">
        <v>0.3</v>
      </c>
      <c r="BY34" s="161" t="n">
        <v>0.3</v>
      </c>
      <c r="BZ34" s="161" t="n">
        <v>0.3</v>
      </c>
      <c r="CA34" s="161" t="n">
        <v>0.3</v>
      </c>
      <c r="CB34" s="161" t="n">
        <v>0.3</v>
      </c>
      <c r="CC34" s="162" t="n">
        <v>0.3</v>
      </c>
      <c r="CD34" s="181" t="n"/>
    </row>
    <row r="35">
      <c r="A35" s="83" t="n"/>
      <c r="B35" s="226" t="inlineStr">
        <is>
          <t>Biomass</t>
        </is>
      </c>
      <c r="C35" s="226" t="inlineStr">
        <is>
          <t>(p/kWh)</t>
        </is>
      </c>
      <c r="D35" s="161" t="n">
        <v>16.77</v>
      </c>
      <c r="E35" s="161" t="n">
        <v>16.77</v>
      </c>
      <c r="F35" s="161" t="n">
        <v>16.77</v>
      </c>
      <c r="G35" s="161" t="n">
        <v>16.77</v>
      </c>
      <c r="H35" s="161" t="n">
        <v>16.77</v>
      </c>
      <c r="I35" s="161" t="n">
        <v>16.77</v>
      </c>
      <c r="J35" s="161" t="n">
        <v>16.77</v>
      </c>
      <c r="K35" s="161" t="n">
        <v>16.77</v>
      </c>
      <c r="L35" s="161" t="n">
        <v>16.77</v>
      </c>
      <c r="M35" s="161" t="n">
        <v>16.77</v>
      </c>
      <c r="N35" s="161" t="n">
        <v>16.77</v>
      </c>
      <c r="O35" s="161" t="n">
        <v>16.77</v>
      </c>
      <c r="P35" s="161" t="n">
        <v>16.77</v>
      </c>
      <c r="Q35" s="161" t="n">
        <v>16.77</v>
      </c>
      <c r="R35" s="161" t="n">
        <v>16.77</v>
      </c>
      <c r="S35" s="161" t="n">
        <v>16.77</v>
      </c>
      <c r="T35" s="161" t="n">
        <v>16.77</v>
      </c>
      <c r="U35" s="161" t="n">
        <v>16.77</v>
      </c>
      <c r="V35" s="161" t="n">
        <v>16.77</v>
      </c>
      <c r="W35" s="161" t="n">
        <v>16.77</v>
      </c>
      <c r="X35" s="161" t="n">
        <v>16.77</v>
      </c>
      <c r="Y35" s="161" t="n">
        <v>16.77</v>
      </c>
      <c r="Z35" s="161" t="n">
        <v>16.77</v>
      </c>
      <c r="AA35" s="161" t="n">
        <v>16.77</v>
      </c>
      <c r="AB35" s="161" t="n">
        <v>16.77</v>
      </c>
      <c r="AC35" s="161" t="n">
        <v>16.77</v>
      </c>
      <c r="AD35" s="161" t="n">
        <v>16.77</v>
      </c>
      <c r="AE35" s="161" t="n">
        <v>16.77</v>
      </c>
      <c r="AF35" s="161" t="n">
        <v>16.77</v>
      </c>
      <c r="AG35" s="161" t="n">
        <v>16.77</v>
      </c>
      <c r="AH35" s="161" t="n">
        <v>16.77</v>
      </c>
      <c r="AI35" s="161" t="n">
        <v>16.77</v>
      </c>
      <c r="AJ35" s="161" t="n">
        <v>16.77</v>
      </c>
      <c r="AK35" s="161" t="n">
        <v>16.77</v>
      </c>
      <c r="AL35" s="161" t="n">
        <v>16.77</v>
      </c>
      <c r="AM35" s="161" t="n">
        <v>16.77</v>
      </c>
      <c r="AN35" s="161" t="n">
        <v>16.77</v>
      </c>
      <c r="AO35" s="161" t="n">
        <v>16.77</v>
      </c>
      <c r="AP35" s="161" t="n">
        <v>16.77</v>
      </c>
      <c r="AQ35" s="161" t="n">
        <v>16.77</v>
      </c>
      <c r="AR35" s="161" t="n">
        <v>16.77</v>
      </c>
      <c r="AS35" s="161" t="n">
        <v>16.77</v>
      </c>
      <c r="AT35" s="161" t="n">
        <v>16.77</v>
      </c>
      <c r="AU35" s="161" t="n">
        <v>16.77</v>
      </c>
      <c r="AV35" s="161" t="n">
        <v>16.77</v>
      </c>
      <c r="AW35" s="161" t="n">
        <v>16.77</v>
      </c>
      <c r="AX35" s="161" t="n">
        <v>16.77</v>
      </c>
      <c r="AY35" s="161" t="n">
        <v>16.77</v>
      </c>
      <c r="AZ35" s="161" t="n">
        <v>16.77</v>
      </c>
      <c r="BA35" s="161" t="n">
        <v>16.77</v>
      </c>
      <c r="BB35" s="161" t="n">
        <v>16.77</v>
      </c>
      <c r="BC35" s="161" t="n">
        <v>16.77</v>
      </c>
      <c r="BD35" s="161" t="n">
        <v>16.77</v>
      </c>
      <c r="BE35" s="161" t="n">
        <v>16.77</v>
      </c>
      <c r="BF35" s="161" t="n">
        <v>16.77</v>
      </c>
      <c r="BG35" s="161" t="n">
        <v>16.77</v>
      </c>
      <c r="BH35" s="161" t="n">
        <v>16.77</v>
      </c>
      <c r="BI35" s="161" t="n">
        <v>16.77</v>
      </c>
      <c r="BJ35" s="161" t="n">
        <v>16.77</v>
      </c>
      <c r="BK35" s="161" t="n">
        <v>16.77</v>
      </c>
      <c r="BL35" s="161" t="n">
        <v>16.77</v>
      </c>
      <c r="BM35" s="161" t="n">
        <v>16.77</v>
      </c>
      <c r="BN35" s="161" t="n">
        <v>16.77</v>
      </c>
      <c r="BO35" s="161" t="n">
        <v>16.77</v>
      </c>
      <c r="BP35" s="161" t="n">
        <v>16.77</v>
      </c>
      <c r="BQ35" s="161" t="n">
        <v>16.77</v>
      </c>
      <c r="BR35" s="161" t="n">
        <v>16.77</v>
      </c>
      <c r="BS35" s="161" t="n">
        <v>16.77</v>
      </c>
      <c r="BT35" s="161" t="n">
        <v>16.77</v>
      </c>
      <c r="BU35" s="161" t="n">
        <v>16.77</v>
      </c>
      <c r="BV35" s="161" t="n">
        <v>16.77</v>
      </c>
      <c r="BW35" s="161" t="n">
        <v>16.77</v>
      </c>
      <c r="BX35" s="161" t="n">
        <v>16.77</v>
      </c>
      <c r="BY35" s="161" t="n">
        <v>16.77</v>
      </c>
      <c r="BZ35" s="161" t="n">
        <v>16.77</v>
      </c>
      <c r="CA35" s="161" t="n">
        <v>16.77</v>
      </c>
      <c r="CB35" s="161" t="n">
        <v>16.77</v>
      </c>
      <c r="CC35" s="162" t="n">
        <v>16.77</v>
      </c>
      <c r="CD35" s="181" t="n"/>
    </row>
    <row r="36">
      <c r="A36" s="83" t="n"/>
      <c r="B36" s="226" t="inlineStr">
        <is>
          <t>LPG</t>
        </is>
      </c>
      <c r="C36" s="226" t="inlineStr">
        <is>
          <t>(p/kWh)</t>
        </is>
      </c>
      <c r="D36" s="170" t="inlineStr">
        <is>
          <t>N/A</t>
        </is>
      </c>
      <c r="E36" s="170" t="inlineStr">
        <is>
          <t>N/A</t>
        </is>
      </c>
      <c r="F36" s="170" t="inlineStr">
        <is>
          <t>N/A</t>
        </is>
      </c>
      <c r="G36" s="170" t="inlineStr">
        <is>
          <t>N/A</t>
        </is>
      </c>
      <c r="H36" s="170" t="inlineStr">
        <is>
          <t>N/A</t>
        </is>
      </c>
      <c r="I36" s="170" t="inlineStr">
        <is>
          <t>N/A</t>
        </is>
      </c>
      <c r="J36" s="170" t="inlineStr">
        <is>
          <t>N/A</t>
        </is>
      </c>
      <c r="K36" s="170" t="inlineStr">
        <is>
          <t>N/A</t>
        </is>
      </c>
      <c r="L36" s="170" t="inlineStr">
        <is>
          <t>N/A</t>
        </is>
      </c>
      <c r="M36" s="170" t="inlineStr">
        <is>
          <t>N/A</t>
        </is>
      </c>
      <c r="N36" s="170" t="inlineStr">
        <is>
          <t>N/A</t>
        </is>
      </c>
      <c r="O36" s="170" t="inlineStr">
        <is>
          <t>N/A</t>
        </is>
      </c>
      <c r="P36" s="170" t="inlineStr">
        <is>
          <t>N/A</t>
        </is>
      </c>
      <c r="Q36" s="170" t="inlineStr">
        <is>
          <t>N/A</t>
        </is>
      </c>
      <c r="R36" s="170" t="inlineStr">
        <is>
          <t>N/A</t>
        </is>
      </c>
      <c r="S36" s="170" t="inlineStr">
        <is>
          <t>N/A</t>
        </is>
      </c>
      <c r="T36" s="170" t="inlineStr">
        <is>
          <t>N/A</t>
        </is>
      </c>
      <c r="U36" s="170" t="inlineStr">
        <is>
          <t>N/A</t>
        </is>
      </c>
      <c r="V36" s="170" t="inlineStr">
        <is>
          <t>N/A</t>
        </is>
      </c>
      <c r="W36" s="170" t="inlineStr">
        <is>
          <t>N/A</t>
        </is>
      </c>
      <c r="X36" s="170" t="inlineStr">
        <is>
          <t>N/A</t>
        </is>
      </c>
      <c r="Y36" s="170" t="inlineStr">
        <is>
          <t>N/A</t>
        </is>
      </c>
      <c r="Z36" s="170" t="inlineStr">
        <is>
          <t>N/A</t>
        </is>
      </c>
      <c r="AA36" s="170" t="inlineStr">
        <is>
          <t>N/A</t>
        </is>
      </c>
      <c r="AB36" s="170" t="inlineStr">
        <is>
          <t>N/A</t>
        </is>
      </c>
      <c r="AC36" s="170" t="inlineStr">
        <is>
          <t>N/A</t>
        </is>
      </c>
      <c r="AD36" s="170" t="inlineStr">
        <is>
          <t>N/A</t>
        </is>
      </c>
      <c r="AE36" s="170" t="inlineStr">
        <is>
          <t>N/A</t>
        </is>
      </c>
      <c r="AF36" s="170" t="inlineStr">
        <is>
          <t>N/A</t>
        </is>
      </c>
      <c r="AG36" s="170" t="inlineStr">
        <is>
          <t>N/A</t>
        </is>
      </c>
      <c r="AH36" s="170" t="inlineStr">
        <is>
          <t>N/A</t>
        </is>
      </c>
      <c r="AI36" s="170" t="inlineStr">
        <is>
          <t>N/A</t>
        </is>
      </c>
      <c r="AJ36" s="170" t="inlineStr">
        <is>
          <t>N/A</t>
        </is>
      </c>
      <c r="AK36" s="170" t="inlineStr">
        <is>
          <t>N/A</t>
        </is>
      </c>
      <c r="AL36" s="170" t="inlineStr">
        <is>
          <t>N/A</t>
        </is>
      </c>
      <c r="AM36" s="170" t="inlineStr">
        <is>
          <t>N/A</t>
        </is>
      </c>
      <c r="AN36" s="170" t="inlineStr">
        <is>
          <t>N/A</t>
        </is>
      </c>
      <c r="AO36" s="170" t="inlineStr">
        <is>
          <t>N/A</t>
        </is>
      </c>
      <c r="AP36" s="170" t="inlineStr">
        <is>
          <t>N/A</t>
        </is>
      </c>
      <c r="AQ36" s="170" t="inlineStr">
        <is>
          <t>N/A</t>
        </is>
      </c>
      <c r="AR36" s="170" t="inlineStr">
        <is>
          <t>N/A</t>
        </is>
      </c>
      <c r="AS36" s="170" t="inlineStr">
        <is>
          <t>N/A</t>
        </is>
      </c>
      <c r="AT36" s="170" t="inlineStr">
        <is>
          <t>N/A</t>
        </is>
      </c>
      <c r="AU36" s="170" t="inlineStr">
        <is>
          <t>N/A</t>
        </is>
      </c>
      <c r="AV36" s="170" t="inlineStr">
        <is>
          <t>N/A</t>
        </is>
      </c>
      <c r="AW36" s="170" t="inlineStr">
        <is>
          <t>N/A</t>
        </is>
      </c>
      <c r="AX36" s="170" t="inlineStr">
        <is>
          <t>N/A</t>
        </is>
      </c>
      <c r="AY36" s="170" t="inlineStr">
        <is>
          <t>N/A</t>
        </is>
      </c>
      <c r="AZ36" s="170" t="inlineStr">
        <is>
          <t>N/A</t>
        </is>
      </c>
      <c r="BA36" s="170" t="inlineStr">
        <is>
          <t>N/A</t>
        </is>
      </c>
      <c r="BB36" s="170" t="inlineStr">
        <is>
          <t>N/A</t>
        </is>
      </c>
      <c r="BC36" s="170" t="inlineStr">
        <is>
          <t>N/A</t>
        </is>
      </c>
      <c r="BD36" s="170" t="inlineStr">
        <is>
          <t>N/A</t>
        </is>
      </c>
      <c r="BE36" s="170" t="inlineStr">
        <is>
          <t>N/A</t>
        </is>
      </c>
      <c r="BF36" s="170" t="inlineStr">
        <is>
          <t>N/A</t>
        </is>
      </c>
      <c r="BG36" s="170" t="inlineStr">
        <is>
          <t>N/A</t>
        </is>
      </c>
      <c r="BH36" s="170" t="inlineStr">
        <is>
          <t>N/A</t>
        </is>
      </c>
      <c r="BI36" s="170" t="inlineStr">
        <is>
          <t>N/A</t>
        </is>
      </c>
      <c r="BJ36" s="170" t="inlineStr">
        <is>
          <t>N/A</t>
        </is>
      </c>
      <c r="BK36" s="170" t="inlineStr">
        <is>
          <t>N/A</t>
        </is>
      </c>
      <c r="BL36" s="170" t="inlineStr">
        <is>
          <t>N/A</t>
        </is>
      </c>
      <c r="BM36" s="170" t="inlineStr">
        <is>
          <t>N/A</t>
        </is>
      </c>
      <c r="BN36" s="170" t="inlineStr">
        <is>
          <t>N/A</t>
        </is>
      </c>
      <c r="BO36" s="170" t="inlineStr">
        <is>
          <t>N/A</t>
        </is>
      </c>
      <c r="BP36" s="170" t="inlineStr">
        <is>
          <t>N/A</t>
        </is>
      </c>
      <c r="BQ36" s="170" t="inlineStr">
        <is>
          <t>N/A</t>
        </is>
      </c>
      <c r="BR36" s="170" t="inlineStr">
        <is>
          <t>N/A</t>
        </is>
      </c>
      <c r="BS36" s="170" t="inlineStr">
        <is>
          <t>N/A</t>
        </is>
      </c>
      <c r="BT36" s="170" t="inlineStr">
        <is>
          <t>N/A</t>
        </is>
      </c>
      <c r="BU36" s="170" t="inlineStr">
        <is>
          <t>N/A</t>
        </is>
      </c>
      <c r="BV36" s="170" t="inlineStr">
        <is>
          <t>N/A</t>
        </is>
      </c>
      <c r="BW36" s="170" t="inlineStr">
        <is>
          <t>N/A</t>
        </is>
      </c>
      <c r="BX36" s="170" t="inlineStr">
        <is>
          <t>N/A</t>
        </is>
      </c>
      <c r="BY36" s="170" t="inlineStr">
        <is>
          <t>N/A</t>
        </is>
      </c>
      <c r="BZ36" s="170" t="inlineStr">
        <is>
          <t>N/A</t>
        </is>
      </c>
      <c r="CA36" s="170" t="inlineStr">
        <is>
          <t>N/A</t>
        </is>
      </c>
      <c r="CB36" s="170" t="inlineStr">
        <is>
          <t>N/A</t>
        </is>
      </c>
      <c r="CC36" s="233" t="inlineStr">
        <is>
          <t>N/A</t>
        </is>
      </c>
      <c r="CD36" s="181" t="n"/>
    </row>
    <row r="37">
      <c r="A37" s="83" t="n"/>
      <c r="B37" s="226" t="inlineStr">
        <is>
          <t>Peat</t>
        </is>
      </c>
      <c r="C37" s="226" t="inlineStr">
        <is>
          <t>(p/kWh)</t>
        </is>
      </c>
      <c r="D37" s="161" t="n">
        <v>27.94</v>
      </c>
      <c r="E37" s="161" t="n">
        <v>27.94</v>
      </c>
      <c r="F37" s="161" t="n">
        <v>27.94</v>
      </c>
      <c r="G37" s="161" t="n">
        <v>27.94</v>
      </c>
      <c r="H37" s="161" t="n">
        <v>27.94</v>
      </c>
      <c r="I37" s="161" t="n">
        <v>27.94</v>
      </c>
      <c r="J37" s="161" t="n">
        <v>27.94</v>
      </c>
      <c r="K37" s="161" t="n">
        <v>27.94</v>
      </c>
      <c r="L37" s="161" t="n">
        <v>27.94</v>
      </c>
      <c r="M37" s="161" t="n">
        <v>27.94</v>
      </c>
      <c r="N37" s="161" t="n">
        <v>27.94</v>
      </c>
      <c r="O37" s="161" t="n">
        <v>27.94</v>
      </c>
      <c r="P37" s="161" t="n">
        <v>27.94</v>
      </c>
      <c r="Q37" s="161" t="n">
        <v>27.94</v>
      </c>
      <c r="R37" s="161" t="n">
        <v>27.94</v>
      </c>
      <c r="S37" s="161" t="n">
        <v>27.94</v>
      </c>
      <c r="T37" s="161" t="n">
        <v>27.94</v>
      </c>
      <c r="U37" s="161" t="n">
        <v>27.94</v>
      </c>
      <c r="V37" s="161" t="n">
        <v>27.94</v>
      </c>
      <c r="W37" s="161" t="n">
        <v>27.94</v>
      </c>
      <c r="X37" s="161" t="n">
        <v>27.94</v>
      </c>
      <c r="Y37" s="161" t="n">
        <v>27.94</v>
      </c>
      <c r="Z37" s="161" t="n">
        <v>27.94</v>
      </c>
      <c r="AA37" s="161" t="n">
        <v>27.94</v>
      </c>
      <c r="AB37" s="161" t="n">
        <v>27.94</v>
      </c>
      <c r="AC37" s="161" t="n">
        <v>27.94</v>
      </c>
      <c r="AD37" s="161" t="n">
        <v>27.94</v>
      </c>
      <c r="AE37" s="161" t="n">
        <v>27.94</v>
      </c>
      <c r="AF37" s="161" t="n">
        <v>27.94</v>
      </c>
      <c r="AG37" s="161" t="n">
        <v>27.94</v>
      </c>
      <c r="AH37" s="161" t="n">
        <v>27.94</v>
      </c>
      <c r="AI37" s="161" t="n">
        <v>27.94</v>
      </c>
      <c r="AJ37" s="161" t="n">
        <v>27.94</v>
      </c>
      <c r="AK37" s="161" t="n">
        <v>27.94</v>
      </c>
      <c r="AL37" s="161" t="n">
        <v>27.94</v>
      </c>
      <c r="AM37" s="161" t="n">
        <v>27.94</v>
      </c>
      <c r="AN37" s="161" t="n">
        <v>27.94</v>
      </c>
      <c r="AO37" s="161" t="n">
        <v>27.94</v>
      </c>
      <c r="AP37" s="161" t="n">
        <v>27.94</v>
      </c>
      <c r="AQ37" s="161" t="n">
        <v>27.94</v>
      </c>
      <c r="AR37" s="161" t="n">
        <v>27.94</v>
      </c>
      <c r="AS37" s="161" t="n">
        <v>27.94</v>
      </c>
      <c r="AT37" s="161" t="n">
        <v>27.94</v>
      </c>
      <c r="AU37" s="161" t="n">
        <v>27.94</v>
      </c>
      <c r="AV37" s="161" t="n">
        <v>27.94</v>
      </c>
      <c r="AW37" s="161" t="n">
        <v>27.94</v>
      </c>
      <c r="AX37" s="161" t="n">
        <v>27.94</v>
      </c>
      <c r="AY37" s="161" t="n">
        <v>27.94</v>
      </c>
      <c r="AZ37" s="161" t="n">
        <v>27.94</v>
      </c>
      <c r="BA37" s="161" t="n">
        <v>27.94</v>
      </c>
      <c r="BB37" s="161" t="n">
        <v>27.94</v>
      </c>
      <c r="BC37" s="161" t="n">
        <v>27.94</v>
      </c>
      <c r="BD37" s="161" t="n">
        <v>27.94</v>
      </c>
      <c r="BE37" s="161" t="n">
        <v>27.94</v>
      </c>
      <c r="BF37" s="161" t="n">
        <v>27.94</v>
      </c>
      <c r="BG37" s="161" t="n">
        <v>27.94</v>
      </c>
      <c r="BH37" s="161" t="n">
        <v>27.94</v>
      </c>
      <c r="BI37" s="161" t="n">
        <v>27.94</v>
      </c>
      <c r="BJ37" s="161" t="n">
        <v>27.94</v>
      </c>
      <c r="BK37" s="161" t="n">
        <v>27.94</v>
      </c>
      <c r="BL37" s="161" t="n">
        <v>27.94</v>
      </c>
      <c r="BM37" s="161" t="n">
        <v>27.94</v>
      </c>
      <c r="BN37" s="161" t="n">
        <v>27.94</v>
      </c>
      <c r="BO37" s="161" t="n">
        <v>27.94</v>
      </c>
      <c r="BP37" s="161" t="n">
        <v>27.94</v>
      </c>
      <c r="BQ37" s="161" t="n">
        <v>27.94</v>
      </c>
      <c r="BR37" s="161" t="n">
        <v>27.94</v>
      </c>
      <c r="BS37" s="161" t="n">
        <v>27.94</v>
      </c>
      <c r="BT37" s="161" t="n">
        <v>27.94</v>
      </c>
      <c r="BU37" s="161" t="n">
        <v>27.94</v>
      </c>
      <c r="BV37" s="161" t="n">
        <v>27.94</v>
      </c>
      <c r="BW37" s="161" t="n">
        <v>27.94</v>
      </c>
      <c r="BX37" s="161" t="n">
        <v>27.94</v>
      </c>
      <c r="BY37" s="161" t="n">
        <v>27.94</v>
      </c>
      <c r="BZ37" s="161" t="n">
        <v>27.94</v>
      </c>
      <c r="CA37" s="161" t="n">
        <v>27.94</v>
      </c>
      <c r="CB37" s="161" t="n">
        <v>27.94</v>
      </c>
      <c r="CC37" s="162" t="n">
        <v>27.94</v>
      </c>
      <c r="CD37" s="181" t="n"/>
    </row>
    <row r="38">
      <c r="A38" s="83" t="n"/>
      <c r="B38" s="226" t="inlineStr">
        <is>
          <t>Petroleum coke</t>
        </is>
      </c>
      <c r="C38" s="226" t="inlineStr">
        <is>
          <t>(p/kWh)</t>
        </is>
      </c>
      <c r="D38" s="165" t="n">
        <v>27.65</v>
      </c>
      <c r="E38" s="165" t="n">
        <v>27.65</v>
      </c>
      <c r="F38" s="165" t="n">
        <v>27.65</v>
      </c>
      <c r="G38" s="165" t="n">
        <v>27.65</v>
      </c>
      <c r="H38" s="165" t="n">
        <v>27.65</v>
      </c>
      <c r="I38" s="165" t="n">
        <v>27.65</v>
      </c>
      <c r="J38" s="165" t="n">
        <v>27.65</v>
      </c>
      <c r="K38" s="165" t="n">
        <v>27.65</v>
      </c>
      <c r="L38" s="165" t="n">
        <v>27.65</v>
      </c>
      <c r="M38" s="165" t="n">
        <v>27.65</v>
      </c>
      <c r="N38" s="165" t="n">
        <v>27.65</v>
      </c>
      <c r="O38" s="165" t="n">
        <v>27.65</v>
      </c>
      <c r="P38" s="165" t="n">
        <v>27.65</v>
      </c>
      <c r="Q38" s="165" t="n">
        <v>27.65</v>
      </c>
      <c r="R38" s="165" t="n">
        <v>27.65</v>
      </c>
      <c r="S38" s="165" t="n">
        <v>27.65</v>
      </c>
      <c r="T38" s="165" t="n">
        <v>27.65</v>
      </c>
      <c r="U38" s="165" t="n">
        <v>27.65</v>
      </c>
      <c r="V38" s="165" t="n">
        <v>27.65</v>
      </c>
      <c r="W38" s="165" t="n">
        <v>27.65</v>
      </c>
      <c r="X38" s="165" t="n">
        <v>27.65</v>
      </c>
      <c r="Y38" s="165" t="n">
        <v>27.65</v>
      </c>
      <c r="Z38" s="165" t="n">
        <v>27.65</v>
      </c>
      <c r="AA38" s="165" t="n">
        <v>27.65</v>
      </c>
      <c r="AB38" s="165" t="n">
        <v>27.65</v>
      </c>
      <c r="AC38" s="165" t="n">
        <v>27.65</v>
      </c>
      <c r="AD38" s="165" t="n">
        <v>27.65</v>
      </c>
      <c r="AE38" s="165" t="n">
        <v>27.65</v>
      </c>
      <c r="AF38" s="165" t="n">
        <v>27.65</v>
      </c>
      <c r="AG38" s="165" t="n">
        <v>27.65</v>
      </c>
      <c r="AH38" s="165" t="n">
        <v>27.65</v>
      </c>
      <c r="AI38" s="165" t="n">
        <v>27.65</v>
      </c>
      <c r="AJ38" s="165" t="n">
        <v>27.65</v>
      </c>
      <c r="AK38" s="165" t="n">
        <v>27.65</v>
      </c>
      <c r="AL38" s="165" t="n">
        <v>27.65</v>
      </c>
      <c r="AM38" s="165" t="n">
        <v>27.65</v>
      </c>
      <c r="AN38" s="165" t="n">
        <v>27.65</v>
      </c>
      <c r="AO38" s="165" t="n">
        <v>27.65</v>
      </c>
      <c r="AP38" s="165" t="n">
        <v>27.65</v>
      </c>
      <c r="AQ38" s="165" t="n">
        <v>27.65</v>
      </c>
      <c r="AR38" s="165" t="n">
        <v>27.65</v>
      </c>
      <c r="AS38" s="165" t="n">
        <v>27.65</v>
      </c>
      <c r="AT38" s="165" t="n">
        <v>27.65</v>
      </c>
      <c r="AU38" s="165" t="n">
        <v>27.65</v>
      </c>
      <c r="AV38" s="165" t="n">
        <v>27.65</v>
      </c>
      <c r="AW38" s="165" t="n">
        <v>27.65</v>
      </c>
      <c r="AX38" s="165" t="n">
        <v>27.65</v>
      </c>
      <c r="AY38" s="165" t="n">
        <v>27.65</v>
      </c>
      <c r="AZ38" s="165" t="n">
        <v>27.65</v>
      </c>
      <c r="BA38" s="165" t="n">
        <v>27.65</v>
      </c>
      <c r="BB38" s="165" t="n">
        <v>27.65</v>
      </c>
      <c r="BC38" s="165" t="n">
        <v>27.65</v>
      </c>
      <c r="BD38" s="165" t="n">
        <v>27.65</v>
      </c>
      <c r="BE38" s="165" t="n">
        <v>27.65</v>
      </c>
      <c r="BF38" s="165" t="n">
        <v>27.65</v>
      </c>
      <c r="BG38" s="165" t="n">
        <v>27.65</v>
      </c>
      <c r="BH38" s="165" t="n">
        <v>27.65</v>
      </c>
      <c r="BI38" s="165" t="n">
        <v>27.65</v>
      </c>
      <c r="BJ38" s="165" t="n">
        <v>27.65</v>
      </c>
      <c r="BK38" s="165" t="n">
        <v>27.65</v>
      </c>
      <c r="BL38" s="165" t="n">
        <v>27.65</v>
      </c>
      <c r="BM38" s="165" t="n">
        <v>27.65</v>
      </c>
      <c r="BN38" s="165" t="n">
        <v>27.65</v>
      </c>
      <c r="BO38" s="165" t="n">
        <v>27.65</v>
      </c>
      <c r="BP38" s="165" t="n">
        <v>27.65</v>
      </c>
      <c r="BQ38" s="165" t="n">
        <v>27.65</v>
      </c>
      <c r="BR38" s="165" t="n">
        <v>27.65</v>
      </c>
      <c r="BS38" s="165" t="n">
        <v>27.65</v>
      </c>
      <c r="BT38" s="165" t="n">
        <v>27.65</v>
      </c>
      <c r="BU38" s="165" t="n">
        <v>27.65</v>
      </c>
      <c r="BV38" s="165" t="n">
        <v>27.65</v>
      </c>
      <c r="BW38" s="165" t="n">
        <v>27.65</v>
      </c>
      <c r="BX38" s="165" t="n">
        <v>27.65</v>
      </c>
      <c r="BY38" s="165" t="n">
        <v>27.65</v>
      </c>
      <c r="BZ38" s="165" t="n">
        <v>27.65</v>
      </c>
      <c r="CA38" s="165" t="n">
        <v>27.65</v>
      </c>
      <c r="CB38" s="165" t="n">
        <v>27.65</v>
      </c>
      <c r="CC38" s="166" t="n">
        <v>27.65</v>
      </c>
      <c r="CD38" s="181" t="n"/>
    </row>
    <row r="39">
      <c r="A39" s="83" t="n"/>
      <c r="B39" s="169" t="n"/>
      <c r="C39" s="169" t="n"/>
      <c r="D39" s="231" t="n"/>
      <c r="E39" s="231" t="n"/>
      <c r="F39" s="231" t="n"/>
      <c r="G39" s="231" t="n"/>
      <c r="H39" s="231" t="n"/>
      <c r="I39" s="231" t="n"/>
      <c r="J39" s="231" t="n"/>
      <c r="K39" s="231" t="n"/>
      <c r="L39" s="231" t="n"/>
      <c r="M39" s="231" t="n"/>
      <c r="N39" s="231" t="n"/>
      <c r="O39" s="231" t="n"/>
      <c r="P39" s="231" t="n"/>
      <c r="Q39" s="231" t="n"/>
      <c r="R39" s="231" t="n"/>
      <c r="S39" s="231" t="n"/>
      <c r="T39" s="231" t="n"/>
      <c r="U39" s="231" t="n"/>
      <c r="V39" s="231" t="n"/>
      <c r="W39" s="231" t="n"/>
      <c r="X39" s="231" t="n"/>
      <c r="Y39" s="231" t="n"/>
      <c r="Z39" s="231" t="n"/>
      <c r="AA39" s="231" t="n"/>
      <c r="AB39" s="231" t="n"/>
      <c r="AC39" s="231" t="n"/>
      <c r="AD39" s="231" t="n"/>
      <c r="AE39" s="231" t="n"/>
      <c r="AF39" s="231" t="n"/>
      <c r="AG39" s="231" t="n"/>
      <c r="AH39" s="231" t="n"/>
      <c r="AI39" s="231" t="n"/>
      <c r="AJ39" s="231" t="n"/>
      <c r="AK39" s="231" t="n"/>
      <c r="AL39" s="231" t="n"/>
      <c r="AM39" s="231" t="n"/>
      <c r="AN39" s="231" t="n"/>
      <c r="AO39" s="231" t="n"/>
      <c r="AP39" s="231" t="n"/>
      <c r="AQ39" s="231" t="n"/>
      <c r="AR39" s="231" t="n"/>
      <c r="AS39" s="231" t="n"/>
      <c r="AT39" s="231" t="n"/>
      <c r="AU39" s="231" t="n"/>
      <c r="AV39" s="231" t="n"/>
      <c r="AW39" s="231" t="n"/>
      <c r="AX39" s="231" t="n"/>
      <c r="AY39" s="231" t="n"/>
      <c r="AZ39" s="231" t="n"/>
      <c r="BA39" s="231" t="n"/>
      <c r="BB39" s="231" t="n"/>
      <c r="BC39" s="231" t="n"/>
      <c r="BD39" s="231" t="n"/>
      <c r="BE39" s="231" t="n"/>
      <c r="BF39" s="231" t="n"/>
      <c r="BG39" s="231" t="n"/>
      <c r="BH39" s="231" t="n"/>
      <c r="BI39" s="231" t="n"/>
      <c r="BJ39" s="231" t="n"/>
      <c r="BK39" s="231" t="n"/>
      <c r="BL39" s="231" t="n"/>
      <c r="BM39" s="231" t="n"/>
      <c r="BN39" s="231" t="n"/>
      <c r="BO39" s="231" t="n"/>
      <c r="BP39" s="231" t="n"/>
      <c r="BQ39" s="231" t="n"/>
      <c r="BR39" s="231" t="n"/>
      <c r="BS39" s="231" t="n"/>
      <c r="BT39" s="231" t="n"/>
      <c r="BU39" s="231" t="n"/>
      <c r="BV39" s="231" t="n"/>
      <c r="BW39" s="231" t="n"/>
      <c r="BX39" s="231" t="n"/>
      <c r="BY39" s="231" t="n"/>
      <c r="BZ39" s="231" t="n"/>
      <c r="CA39" s="231" t="n"/>
      <c r="CB39" s="231" t="n"/>
      <c r="CC39" s="231" t="n"/>
      <c r="CD39" s="169" t="n"/>
    </row>
    <row r="40">
      <c r="A40" s="83" t="n"/>
      <c r="B40" s="224" t="inlineStr">
        <is>
          <t>DOMESTIC: Urban medium</t>
        </is>
      </c>
      <c r="C40" s="225" t="n"/>
      <c r="D40" s="167" t="n"/>
      <c r="E40" s="167" t="n"/>
      <c r="F40" s="167" t="n"/>
      <c r="G40" s="167" t="n"/>
      <c r="H40" s="167" t="n"/>
      <c r="I40" s="167" t="n"/>
      <c r="J40" s="167" t="n"/>
      <c r="K40" s="167" t="n"/>
      <c r="L40" s="167" t="n"/>
      <c r="M40" s="167" t="n"/>
      <c r="N40" s="167" t="n"/>
      <c r="O40" s="167" t="n"/>
      <c r="P40" s="167" t="n"/>
      <c r="Q40" s="167" t="n"/>
      <c r="R40" s="167" t="n"/>
      <c r="S40" s="167" t="n"/>
      <c r="T40" s="167" t="n"/>
      <c r="U40" s="167" t="n"/>
      <c r="V40" s="167" t="n"/>
      <c r="W40" s="167" t="n"/>
      <c r="X40" s="167" t="n"/>
      <c r="Y40" s="167" t="n"/>
      <c r="Z40" s="167" t="n"/>
      <c r="AA40" s="167" t="n"/>
      <c r="AB40" s="167" t="n"/>
      <c r="AC40" s="167" t="n"/>
      <c r="AD40" s="167" t="n"/>
      <c r="AE40" s="167" t="n"/>
      <c r="AF40" s="167" t="n"/>
      <c r="AG40" s="167" t="n"/>
      <c r="AH40" s="167" t="n"/>
      <c r="AI40" s="167" t="n"/>
      <c r="AJ40" s="167" t="n"/>
      <c r="AK40" s="167" t="n"/>
      <c r="AL40" s="167" t="n"/>
      <c r="AM40" s="167" t="n"/>
      <c r="AN40" s="167" t="n"/>
      <c r="AO40" s="167" t="n"/>
      <c r="AP40" s="167" t="n"/>
      <c r="AQ40" s="167" t="n"/>
      <c r="AR40" s="167" t="n"/>
      <c r="AS40" s="167" t="n"/>
      <c r="AT40" s="167" t="n"/>
      <c r="AU40" s="167" t="n"/>
      <c r="AV40" s="167" t="n"/>
      <c r="AW40" s="167" t="n"/>
      <c r="AX40" s="167" t="n"/>
      <c r="AY40" s="167" t="n"/>
      <c r="AZ40" s="167" t="n"/>
      <c r="BA40" s="167" t="n"/>
      <c r="BB40" s="167" t="n"/>
      <c r="BC40" s="167" t="n"/>
      <c r="BD40" s="167" t="n"/>
      <c r="BE40" s="167" t="n"/>
      <c r="BF40" s="167" t="n"/>
      <c r="BG40" s="167" t="n"/>
      <c r="BH40" s="167" t="n"/>
      <c r="BI40" s="167" t="n"/>
      <c r="BJ40" s="167" t="n"/>
      <c r="BK40" s="167" t="n"/>
      <c r="BL40" s="167" t="n"/>
      <c r="BM40" s="167" t="n"/>
      <c r="BN40" s="167" t="n"/>
      <c r="BO40" s="167" t="n"/>
      <c r="BP40" s="167" t="n"/>
      <c r="BQ40" s="167" t="n"/>
      <c r="BR40" s="167" t="n"/>
      <c r="BS40" s="167" t="n"/>
      <c r="BT40" s="167" t="n"/>
      <c r="BU40" s="167" t="n"/>
      <c r="BV40" s="167" t="n"/>
      <c r="BW40" s="167" t="n"/>
      <c r="BX40" s="167" t="n"/>
      <c r="BY40" s="167" t="n"/>
      <c r="BZ40" s="167" t="n"/>
      <c r="CA40" s="167" t="n"/>
      <c r="CB40" s="167" t="n"/>
      <c r="CC40" s="232" t="n"/>
      <c r="CD40" s="181" t="n"/>
    </row>
    <row r="41">
      <c r="A41" s="83" t="n"/>
      <c r="B41" s="226" t="inlineStr">
        <is>
          <t>Gas</t>
        </is>
      </c>
      <c r="C41" s="226" t="inlineStr">
        <is>
          <t>(p/kWh)</t>
        </is>
      </c>
      <c r="D41" s="161" t="n">
        <v>0.09</v>
      </c>
      <c r="E41" s="161" t="n">
        <v>0.09</v>
      </c>
      <c r="F41" s="161" t="n">
        <v>0.09</v>
      </c>
      <c r="G41" s="161" t="n">
        <v>0.09</v>
      </c>
      <c r="H41" s="161" t="n">
        <v>0.09</v>
      </c>
      <c r="I41" s="161" t="n">
        <v>0.09</v>
      </c>
      <c r="J41" s="161" t="n">
        <v>0.09</v>
      </c>
      <c r="K41" s="161" t="n">
        <v>0.09</v>
      </c>
      <c r="L41" s="161" t="n">
        <v>0.09</v>
      </c>
      <c r="M41" s="161" t="n">
        <v>0.09</v>
      </c>
      <c r="N41" s="161" t="n">
        <v>0.09</v>
      </c>
      <c r="O41" s="161" t="n">
        <v>0.09</v>
      </c>
      <c r="P41" s="161" t="n">
        <v>0.09</v>
      </c>
      <c r="Q41" s="161" t="n">
        <v>0.09</v>
      </c>
      <c r="R41" s="161" t="n">
        <v>0.09</v>
      </c>
      <c r="S41" s="161" t="n">
        <v>0.09</v>
      </c>
      <c r="T41" s="161" t="n">
        <v>0.09</v>
      </c>
      <c r="U41" s="161" t="n">
        <v>0.09</v>
      </c>
      <c r="V41" s="161" t="n">
        <v>0.09</v>
      </c>
      <c r="W41" s="161" t="n">
        <v>0.09</v>
      </c>
      <c r="X41" s="161" t="n">
        <v>0.09</v>
      </c>
      <c r="Y41" s="161" t="n">
        <v>0.09</v>
      </c>
      <c r="Z41" s="161" t="n">
        <v>0.09</v>
      </c>
      <c r="AA41" s="161" t="n">
        <v>0.09</v>
      </c>
      <c r="AB41" s="161" t="n">
        <v>0.09</v>
      </c>
      <c r="AC41" s="161" t="n">
        <v>0.09</v>
      </c>
      <c r="AD41" s="161" t="n">
        <v>0.09</v>
      </c>
      <c r="AE41" s="161" t="n">
        <v>0.09</v>
      </c>
      <c r="AF41" s="161" t="n">
        <v>0.09</v>
      </c>
      <c r="AG41" s="161" t="n">
        <v>0.09</v>
      </c>
      <c r="AH41" s="161" t="n">
        <v>0.09</v>
      </c>
      <c r="AI41" s="161" t="n">
        <v>0.09</v>
      </c>
      <c r="AJ41" s="161" t="n">
        <v>0.09</v>
      </c>
      <c r="AK41" s="161" t="n">
        <v>0.09</v>
      </c>
      <c r="AL41" s="161" t="n">
        <v>0.09</v>
      </c>
      <c r="AM41" s="161" t="n">
        <v>0.09</v>
      </c>
      <c r="AN41" s="161" t="n">
        <v>0.09</v>
      </c>
      <c r="AO41" s="161" t="n">
        <v>0.09</v>
      </c>
      <c r="AP41" s="161" t="n">
        <v>0.09</v>
      </c>
      <c r="AQ41" s="161" t="n">
        <v>0.09</v>
      </c>
      <c r="AR41" s="161" t="n">
        <v>0.09</v>
      </c>
      <c r="AS41" s="161" t="n">
        <v>0.09</v>
      </c>
      <c r="AT41" s="161" t="n">
        <v>0.09</v>
      </c>
      <c r="AU41" s="161" t="n">
        <v>0.09</v>
      </c>
      <c r="AV41" s="161" t="n">
        <v>0.09</v>
      </c>
      <c r="AW41" s="161" t="n">
        <v>0.09</v>
      </c>
      <c r="AX41" s="161" t="n">
        <v>0.09</v>
      </c>
      <c r="AY41" s="161" t="n">
        <v>0.09</v>
      </c>
      <c r="AZ41" s="161" t="n">
        <v>0.09</v>
      </c>
      <c r="BA41" s="161" t="n">
        <v>0.09</v>
      </c>
      <c r="BB41" s="161" t="n">
        <v>0.09</v>
      </c>
      <c r="BC41" s="161" t="n">
        <v>0.09</v>
      </c>
      <c r="BD41" s="161" t="n">
        <v>0.09</v>
      </c>
      <c r="BE41" s="161" t="n">
        <v>0.09</v>
      </c>
      <c r="BF41" s="161" t="n">
        <v>0.09</v>
      </c>
      <c r="BG41" s="161" t="n">
        <v>0.09</v>
      </c>
      <c r="BH41" s="161" t="n">
        <v>0.09</v>
      </c>
      <c r="BI41" s="161" t="n">
        <v>0.09</v>
      </c>
      <c r="BJ41" s="161" t="n">
        <v>0.09</v>
      </c>
      <c r="BK41" s="161" t="n">
        <v>0.09</v>
      </c>
      <c r="BL41" s="161" t="n">
        <v>0.09</v>
      </c>
      <c r="BM41" s="161" t="n">
        <v>0.09</v>
      </c>
      <c r="BN41" s="161" t="n">
        <v>0.09</v>
      </c>
      <c r="BO41" s="161" t="n">
        <v>0.09</v>
      </c>
      <c r="BP41" s="161" t="n">
        <v>0.09</v>
      </c>
      <c r="BQ41" s="161" t="n">
        <v>0.09</v>
      </c>
      <c r="BR41" s="161" t="n">
        <v>0.09</v>
      </c>
      <c r="BS41" s="161" t="n">
        <v>0.09</v>
      </c>
      <c r="BT41" s="161" t="n">
        <v>0.09</v>
      </c>
      <c r="BU41" s="161" t="n">
        <v>0.09</v>
      </c>
      <c r="BV41" s="161" t="n">
        <v>0.09</v>
      </c>
      <c r="BW41" s="161" t="n">
        <v>0.09</v>
      </c>
      <c r="BX41" s="161" t="n">
        <v>0.09</v>
      </c>
      <c r="BY41" s="161" t="n">
        <v>0.09</v>
      </c>
      <c r="BZ41" s="161" t="n">
        <v>0.09</v>
      </c>
      <c r="CA41" s="161" t="n">
        <v>0.09</v>
      </c>
      <c r="CB41" s="161" t="n">
        <v>0.09</v>
      </c>
      <c r="CC41" s="162" t="n">
        <v>0.09</v>
      </c>
      <c r="CD41" s="181" t="n"/>
    </row>
    <row r="42">
      <c r="A42" s="83" t="n"/>
      <c r="B42" s="226" t="inlineStr">
        <is>
          <t>Coal</t>
        </is>
      </c>
      <c r="C42" s="226" t="inlineStr">
        <is>
          <t>(p/kWh)</t>
        </is>
      </c>
      <c r="D42" s="161" t="n">
        <v>7.54</v>
      </c>
      <c r="E42" s="161" t="n">
        <v>7.54</v>
      </c>
      <c r="F42" s="161" t="n">
        <v>7.54</v>
      </c>
      <c r="G42" s="161" t="n">
        <v>7.54</v>
      </c>
      <c r="H42" s="161" t="n">
        <v>7.54</v>
      </c>
      <c r="I42" s="161" t="n">
        <v>7.54</v>
      </c>
      <c r="J42" s="161" t="n">
        <v>7.54</v>
      </c>
      <c r="K42" s="161" t="n">
        <v>7.54</v>
      </c>
      <c r="L42" s="161" t="n">
        <v>7.54</v>
      </c>
      <c r="M42" s="161" t="n">
        <v>7.54</v>
      </c>
      <c r="N42" s="161" t="n">
        <v>7.54</v>
      </c>
      <c r="O42" s="161" t="n">
        <v>7.54</v>
      </c>
      <c r="P42" s="161" t="n">
        <v>7.54</v>
      </c>
      <c r="Q42" s="161" t="n">
        <v>7.54</v>
      </c>
      <c r="R42" s="161" t="n">
        <v>7.54</v>
      </c>
      <c r="S42" s="161" t="n">
        <v>7.54</v>
      </c>
      <c r="T42" s="161" t="n">
        <v>7.54</v>
      </c>
      <c r="U42" s="161" t="n">
        <v>7.54</v>
      </c>
      <c r="V42" s="161" t="n">
        <v>7.54</v>
      </c>
      <c r="W42" s="161" t="n">
        <v>7.54</v>
      </c>
      <c r="X42" s="161" t="n">
        <v>7.54</v>
      </c>
      <c r="Y42" s="161" t="n">
        <v>7.54</v>
      </c>
      <c r="Z42" s="161" t="n">
        <v>7.54</v>
      </c>
      <c r="AA42" s="161" t="n">
        <v>7.54</v>
      </c>
      <c r="AB42" s="161" t="n">
        <v>7.54</v>
      </c>
      <c r="AC42" s="161" t="n">
        <v>7.54</v>
      </c>
      <c r="AD42" s="161" t="n">
        <v>7.54</v>
      </c>
      <c r="AE42" s="161" t="n">
        <v>7.54</v>
      </c>
      <c r="AF42" s="161" t="n">
        <v>7.54</v>
      </c>
      <c r="AG42" s="161" t="n">
        <v>7.54</v>
      </c>
      <c r="AH42" s="161" t="n">
        <v>7.54</v>
      </c>
      <c r="AI42" s="161" t="n">
        <v>7.54</v>
      </c>
      <c r="AJ42" s="161" t="n">
        <v>7.54</v>
      </c>
      <c r="AK42" s="161" t="n">
        <v>7.54</v>
      </c>
      <c r="AL42" s="161" t="n">
        <v>7.54</v>
      </c>
      <c r="AM42" s="161" t="n">
        <v>7.54</v>
      </c>
      <c r="AN42" s="161" t="n">
        <v>7.54</v>
      </c>
      <c r="AO42" s="161" t="n">
        <v>7.54</v>
      </c>
      <c r="AP42" s="161" t="n">
        <v>7.54</v>
      </c>
      <c r="AQ42" s="161" t="n">
        <v>7.54</v>
      </c>
      <c r="AR42" s="161" t="n">
        <v>7.54</v>
      </c>
      <c r="AS42" s="161" t="n">
        <v>7.54</v>
      </c>
      <c r="AT42" s="161" t="n">
        <v>7.54</v>
      </c>
      <c r="AU42" s="161" t="n">
        <v>7.54</v>
      </c>
      <c r="AV42" s="161" t="n">
        <v>7.54</v>
      </c>
      <c r="AW42" s="161" t="n">
        <v>7.54</v>
      </c>
      <c r="AX42" s="161" t="n">
        <v>7.54</v>
      </c>
      <c r="AY42" s="161" t="n">
        <v>7.54</v>
      </c>
      <c r="AZ42" s="161" t="n">
        <v>7.54</v>
      </c>
      <c r="BA42" s="161" t="n">
        <v>7.54</v>
      </c>
      <c r="BB42" s="161" t="n">
        <v>7.54</v>
      </c>
      <c r="BC42" s="161" t="n">
        <v>7.54</v>
      </c>
      <c r="BD42" s="161" t="n">
        <v>7.54</v>
      </c>
      <c r="BE42" s="161" t="n">
        <v>7.54</v>
      </c>
      <c r="BF42" s="161" t="n">
        <v>7.54</v>
      </c>
      <c r="BG42" s="161" t="n">
        <v>7.54</v>
      </c>
      <c r="BH42" s="161" t="n">
        <v>7.54</v>
      </c>
      <c r="BI42" s="161" t="n">
        <v>7.54</v>
      </c>
      <c r="BJ42" s="161" t="n">
        <v>7.54</v>
      </c>
      <c r="BK42" s="161" t="n">
        <v>7.54</v>
      </c>
      <c r="BL42" s="161" t="n">
        <v>7.54</v>
      </c>
      <c r="BM42" s="161" t="n">
        <v>7.54</v>
      </c>
      <c r="BN42" s="161" t="n">
        <v>7.54</v>
      </c>
      <c r="BO42" s="161" t="n">
        <v>7.54</v>
      </c>
      <c r="BP42" s="161" t="n">
        <v>7.54</v>
      </c>
      <c r="BQ42" s="161" t="n">
        <v>7.54</v>
      </c>
      <c r="BR42" s="161" t="n">
        <v>7.54</v>
      </c>
      <c r="BS42" s="161" t="n">
        <v>7.54</v>
      </c>
      <c r="BT42" s="161" t="n">
        <v>7.54</v>
      </c>
      <c r="BU42" s="161" t="n">
        <v>7.54</v>
      </c>
      <c r="BV42" s="161" t="n">
        <v>7.54</v>
      </c>
      <c r="BW42" s="161" t="n">
        <v>7.54</v>
      </c>
      <c r="BX42" s="161" t="n">
        <v>7.54</v>
      </c>
      <c r="BY42" s="161" t="n">
        <v>7.54</v>
      </c>
      <c r="BZ42" s="161" t="n">
        <v>7.54</v>
      </c>
      <c r="CA42" s="161" t="n">
        <v>7.54</v>
      </c>
      <c r="CB42" s="161" t="n">
        <v>7.54</v>
      </c>
      <c r="CC42" s="162" t="n">
        <v>7.54</v>
      </c>
      <c r="CD42" s="181" t="n"/>
    </row>
    <row r="43">
      <c r="A43" s="83" t="n"/>
      <c r="B43" s="226" t="inlineStr">
        <is>
          <t>Burning oil</t>
        </is>
      </c>
      <c r="C43" s="226" t="inlineStr">
        <is>
          <t>(p/kWh)</t>
        </is>
      </c>
      <c r="D43" s="161" t="n">
        <v>0.21</v>
      </c>
      <c r="E43" s="161" t="n">
        <v>0.21</v>
      </c>
      <c r="F43" s="161" t="n">
        <v>0.21</v>
      </c>
      <c r="G43" s="161" t="n">
        <v>0.21</v>
      </c>
      <c r="H43" s="161" t="n">
        <v>0.21</v>
      </c>
      <c r="I43" s="161" t="n">
        <v>0.21</v>
      </c>
      <c r="J43" s="161" t="n">
        <v>0.21</v>
      </c>
      <c r="K43" s="161" t="n">
        <v>0.21</v>
      </c>
      <c r="L43" s="161" t="n">
        <v>0.21</v>
      </c>
      <c r="M43" s="161" t="n">
        <v>0.21</v>
      </c>
      <c r="N43" s="161" t="n">
        <v>0.21</v>
      </c>
      <c r="O43" s="161" t="n">
        <v>0.21</v>
      </c>
      <c r="P43" s="161" t="n">
        <v>0.21</v>
      </c>
      <c r="Q43" s="161" t="n">
        <v>0.21</v>
      </c>
      <c r="R43" s="161" t="n">
        <v>0.21</v>
      </c>
      <c r="S43" s="161" t="n">
        <v>0.21</v>
      </c>
      <c r="T43" s="161" t="n">
        <v>0.21</v>
      </c>
      <c r="U43" s="161" t="n">
        <v>0.21</v>
      </c>
      <c r="V43" s="161" t="n">
        <v>0.21</v>
      </c>
      <c r="W43" s="161" t="n">
        <v>0.21</v>
      </c>
      <c r="X43" s="161" t="n">
        <v>0.21</v>
      </c>
      <c r="Y43" s="161" t="n">
        <v>0.21</v>
      </c>
      <c r="Z43" s="161" t="n">
        <v>0.21</v>
      </c>
      <c r="AA43" s="161" t="n">
        <v>0.21</v>
      </c>
      <c r="AB43" s="161" t="n">
        <v>0.21</v>
      </c>
      <c r="AC43" s="161" t="n">
        <v>0.21</v>
      </c>
      <c r="AD43" s="161" t="n">
        <v>0.21</v>
      </c>
      <c r="AE43" s="161" t="n">
        <v>0.21</v>
      </c>
      <c r="AF43" s="161" t="n">
        <v>0.21</v>
      </c>
      <c r="AG43" s="161" t="n">
        <v>0.21</v>
      </c>
      <c r="AH43" s="161" t="n">
        <v>0.21</v>
      </c>
      <c r="AI43" s="161" t="n">
        <v>0.21</v>
      </c>
      <c r="AJ43" s="161" t="n">
        <v>0.21</v>
      </c>
      <c r="AK43" s="161" t="n">
        <v>0.21</v>
      </c>
      <c r="AL43" s="161" t="n">
        <v>0.21</v>
      </c>
      <c r="AM43" s="161" t="n">
        <v>0.21</v>
      </c>
      <c r="AN43" s="161" t="n">
        <v>0.21</v>
      </c>
      <c r="AO43" s="161" t="n">
        <v>0.21</v>
      </c>
      <c r="AP43" s="161" t="n">
        <v>0.21</v>
      </c>
      <c r="AQ43" s="161" t="n">
        <v>0.21</v>
      </c>
      <c r="AR43" s="161" t="n">
        <v>0.21</v>
      </c>
      <c r="AS43" s="161" t="n">
        <v>0.21</v>
      </c>
      <c r="AT43" s="161" t="n">
        <v>0.21</v>
      </c>
      <c r="AU43" s="161" t="n">
        <v>0.21</v>
      </c>
      <c r="AV43" s="161" t="n">
        <v>0.21</v>
      </c>
      <c r="AW43" s="161" t="n">
        <v>0.21</v>
      </c>
      <c r="AX43" s="161" t="n">
        <v>0.21</v>
      </c>
      <c r="AY43" s="161" t="n">
        <v>0.21</v>
      </c>
      <c r="AZ43" s="161" t="n">
        <v>0.21</v>
      </c>
      <c r="BA43" s="161" t="n">
        <v>0.21</v>
      </c>
      <c r="BB43" s="161" t="n">
        <v>0.21</v>
      </c>
      <c r="BC43" s="161" t="n">
        <v>0.21</v>
      </c>
      <c r="BD43" s="161" t="n">
        <v>0.21</v>
      </c>
      <c r="BE43" s="161" t="n">
        <v>0.21</v>
      </c>
      <c r="BF43" s="161" t="n">
        <v>0.21</v>
      </c>
      <c r="BG43" s="161" t="n">
        <v>0.21</v>
      </c>
      <c r="BH43" s="161" t="n">
        <v>0.21</v>
      </c>
      <c r="BI43" s="161" t="n">
        <v>0.21</v>
      </c>
      <c r="BJ43" s="161" t="n">
        <v>0.21</v>
      </c>
      <c r="BK43" s="161" t="n">
        <v>0.21</v>
      </c>
      <c r="BL43" s="161" t="n">
        <v>0.21</v>
      </c>
      <c r="BM43" s="161" t="n">
        <v>0.21</v>
      </c>
      <c r="BN43" s="161" t="n">
        <v>0.21</v>
      </c>
      <c r="BO43" s="161" t="n">
        <v>0.21</v>
      </c>
      <c r="BP43" s="161" t="n">
        <v>0.21</v>
      </c>
      <c r="BQ43" s="161" t="n">
        <v>0.21</v>
      </c>
      <c r="BR43" s="161" t="n">
        <v>0.21</v>
      </c>
      <c r="BS43" s="161" t="n">
        <v>0.21</v>
      </c>
      <c r="BT43" s="161" t="n">
        <v>0.21</v>
      </c>
      <c r="BU43" s="161" t="n">
        <v>0.21</v>
      </c>
      <c r="BV43" s="161" t="n">
        <v>0.21</v>
      </c>
      <c r="BW43" s="161" t="n">
        <v>0.21</v>
      </c>
      <c r="BX43" s="161" t="n">
        <v>0.21</v>
      </c>
      <c r="BY43" s="161" t="n">
        <v>0.21</v>
      </c>
      <c r="BZ43" s="161" t="n">
        <v>0.21</v>
      </c>
      <c r="CA43" s="161" t="n">
        <v>0.21</v>
      </c>
      <c r="CB43" s="161" t="n">
        <v>0.21</v>
      </c>
      <c r="CC43" s="162" t="n">
        <v>0.21</v>
      </c>
      <c r="CD43" s="181" t="n"/>
    </row>
    <row r="44">
      <c r="A44" s="83" t="n"/>
      <c r="B44" s="226" t="inlineStr">
        <is>
          <t>Biomass</t>
        </is>
      </c>
      <c r="C44" s="226" t="inlineStr">
        <is>
          <t>(p/kWh)</t>
        </is>
      </c>
      <c r="D44" s="161" t="n">
        <v>11.06</v>
      </c>
      <c r="E44" s="161" t="n">
        <v>11.06</v>
      </c>
      <c r="F44" s="161" t="n">
        <v>11.06</v>
      </c>
      <c r="G44" s="161" t="n">
        <v>11.06</v>
      </c>
      <c r="H44" s="161" t="n">
        <v>11.06</v>
      </c>
      <c r="I44" s="161" t="n">
        <v>11.06</v>
      </c>
      <c r="J44" s="161" t="n">
        <v>11.06</v>
      </c>
      <c r="K44" s="161" t="n">
        <v>11.06</v>
      </c>
      <c r="L44" s="161" t="n">
        <v>11.06</v>
      </c>
      <c r="M44" s="161" t="n">
        <v>11.06</v>
      </c>
      <c r="N44" s="161" t="n">
        <v>11.06</v>
      </c>
      <c r="O44" s="161" t="n">
        <v>11.06</v>
      </c>
      <c r="P44" s="161" t="n">
        <v>11.06</v>
      </c>
      <c r="Q44" s="161" t="n">
        <v>11.06</v>
      </c>
      <c r="R44" s="161" t="n">
        <v>11.06</v>
      </c>
      <c r="S44" s="161" t="n">
        <v>11.06</v>
      </c>
      <c r="T44" s="161" t="n">
        <v>11.06</v>
      </c>
      <c r="U44" s="161" t="n">
        <v>11.06</v>
      </c>
      <c r="V44" s="161" t="n">
        <v>11.06</v>
      </c>
      <c r="W44" s="161" t="n">
        <v>11.06</v>
      </c>
      <c r="X44" s="161" t="n">
        <v>11.06</v>
      </c>
      <c r="Y44" s="161" t="n">
        <v>11.06</v>
      </c>
      <c r="Z44" s="161" t="n">
        <v>11.06</v>
      </c>
      <c r="AA44" s="161" t="n">
        <v>11.06</v>
      </c>
      <c r="AB44" s="161" t="n">
        <v>11.06</v>
      </c>
      <c r="AC44" s="161" t="n">
        <v>11.06</v>
      </c>
      <c r="AD44" s="161" t="n">
        <v>11.06</v>
      </c>
      <c r="AE44" s="161" t="n">
        <v>11.06</v>
      </c>
      <c r="AF44" s="161" t="n">
        <v>11.06</v>
      </c>
      <c r="AG44" s="161" t="n">
        <v>11.06</v>
      </c>
      <c r="AH44" s="161" t="n">
        <v>11.06</v>
      </c>
      <c r="AI44" s="161" t="n">
        <v>11.06</v>
      </c>
      <c r="AJ44" s="161" t="n">
        <v>11.06</v>
      </c>
      <c r="AK44" s="161" t="n">
        <v>11.06</v>
      </c>
      <c r="AL44" s="161" t="n">
        <v>11.06</v>
      </c>
      <c r="AM44" s="161" t="n">
        <v>11.06</v>
      </c>
      <c r="AN44" s="161" t="n">
        <v>11.06</v>
      </c>
      <c r="AO44" s="161" t="n">
        <v>11.06</v>
      </c>
      <c r="AP44" s="161" t="n">
        <v>11.06</v>
      </c>
      <c r="AQ44" s="161" t="n">
        <v>11.06</v>
      </c>
      <c r="AR44" s="161" t="n">
        <v>11.06</v>
      </c>
      <c r="AS44" s="161" t="n">
        <v>11.06</v>
      </c>
      <c r="AT44" s="161" t="n">
        <v>11.06</v>
      </c>
      <c r="AU44" s="161" t="n">
        <v>11.06</v>
      </c>
      <c r="AV44" s="161" t="n">
        <v>11.06</v>
      </c>
      <c r="AW44" s="161" t="n">
        <v>11.06</v>
      </c>
      <c r="AX44" s="161" t="n">
        <v>11.06</v>
      </c>
      <c r="AY44" s="161" t="n">
        <v>11.06</v>
      </c>
      <c r="AZ44" s="161" t="n">
        <v>11.06</v>
      </c>
      <c r="BA44" s="161" t="n">
        <v>11.06</v>
      </c>
      <c r="BB44" s="161" t="n">
        <v>11.06</v>
      </c>
      <c r="BC44" s="161" t="n">
        <v>11.06</v>
      </c>
      <c r="BD44" s="161" t="n">
        <v>11.06</v>
      </c>
      <c r="BE44" s="161" t="n">
        <v>11.06</v>
      </c>
      <c r="BF44" s="161" t="n">
        <v>11.06</v>
      </c>
      <c r="BG44" s="161" t="n">
        <v>11.06</v>
      </c>
      <c r="BH44" s="161" t="n">
        <v>11.06</v>
      </c>
      <c r="BI44" s="161" t="n">
        <v>11.06</v>
      </c>
      <c r="BJ44" s="161" t="n">
        <v>11.06</v>
      </c>
      <c r="BK44" s="161" t="n">
        <v>11.06</v>
      </c>
      <c r="BL44" s="161" t="n">
        <v>11.06</v>
      </c>
      <c r="BM44" s="161" t="n">
        <v>11.06</v>
      </c>
      <c r="BN44" s="161" t="n">
        <v>11.06</v>
      </c>
      <c r="BO44" s="161" t="n">
        <v>11.06</v>
      </c>
      <c r="BP44" s="161" t="n">
        <v>11.06</v>
      </c>
      <c r="BQ44" s="161" t="n">
        <v>11.06</v>
      </c>
      <c r="BR44" s="161" t="n">
        <v>11.06</v>
      </c>
      <c r="BS44" s="161" t="n">
        <v>11.06</v>
      </c>
      <c r="BT44" s="161" t="n">
        <v>11.06</v>
      </c>
      <c r="BU44" s="161" t="n">
        <v>11.06</v>
      </c>
      <c r="BV44" s="161" t="n">
        <v>11.06</v>
      </c>
      <c r="BW44" s="161" t="n">
        <v>11.06</v>
      </c>
      <c r="BX44" s="161" t="n">
        <v>11.06</v>
      </c>
      <c r="BY44" s="161" t="n">
        <v>11.06</v>
      </c>
      <c r="BZ44" s="161" t="n">
        <v>11.06</v>
      </c>
      <c r="CA44" s="161" t="n">
        <v>11.06</v>
      </c>
      <c r="CB44" s="161" t="n">
        <v>11.06</v>
      </c>
      <c r="CC44" s="162" t="n">
        <v>11.06</v>
      </c>
      <c r="CD44" s="181" t="n"/>
    </row>
    <row r="45">
      <c r="A45" s="83" t="n"/>
      <c r="B45" s="226" t="inlineStr">
        <is>
          <t>LPG</t>
        </is>
      </c>
      <c r="C45" s="226" t="inlineStr">
        <is>
          <t>(p/kWh)</t>
        </is>
      </c>
      <c r="D45" s="170" t="inlineStr">
        <is>
          <t>N/A</t>
        </is>
      </c>
      <c r="E45" s="170" t="inlineStr">
        <is>
          <t>N/A</t>
        </is>
      </c>
      <c r="F45" s="170" t="inlineStr">
        <is>
          <t>N/A</t>
        </is>
      </c>
      <c r="G45" s="170" t="inlineStr">
        <is>
          <t>N/A</t>
        </is>
      </c>
      <c r="H45" s="170" t="inlineStr">
        <is>
          <t>N/A</t>
        </is>
      </c>
      <c r="I45" s="170" t="inlineStr">
        <is>
          <t>N/A</t>
        </is>
      </c>
      <c r="J45" s="170" t="inlineStr">
        <is>
          <t>N/A</t>
        </is>
      </c>
      <c r="K45" s="170" t="inlineStr">
        <is>
          <t>N/A</t>
        </is>
      </c>
      <c r="L45" s="170" t="inlineStr">
        <is>
          <t>N/A</t>
        </is>
      </c>
      <c r="M45" s="170" t="inlineStr">
        <is>
          <t>N/A</t>
        </is>
      </c>
      <c r="N45" s="170" t="inlineStr">
        <is>
          <t>N/A</t>
        </is>
      </c>
      <c r="O45" s="170" t="inlineStr">
        <is>
          <t>N/A</t>
        </is>
      </c>
      <c r="P45" s="170" t="inlineStr">
        <is>
          <t>N/A</t>
        </is>
      </c>
      <c r="Q45" s="170" t="inlineStr">
        <is>
          <t>N/A</t>
        </is>
      </c>
      <c r="R45" s="170" t="inlineStr">
        <is>
          <t>N/A</t>
        </is>
      </c>
      <c r="S45" s="170" t="inlineStr">
        <is>
          <t>N/A</t>
        </is>
      </c>
      <c r="T45" s="170" t="inlineStr">
        <is>
          <t>N/A</t>
        </is>
      </c>
      <c r="U45" s="170" t="inlineStr">
        <is>
          <t>N/A</t>
        </is>
      </c>
      <c r="V45" s="170" t="inlineStr">
        <is>
          <t>N/A</t>
        </is>
      </c>
      <c r="W45" s="170" t="inlineStr">
        <is>
          <t>N/A</t>
        </is>
      </c>
      <c r="X45" s="170" t="inlineStr">
        <is>
          <t>N/A</t>
        </is>
      </c>
      <c r="Y45" s="170" t="inlineStr">
        <is>
          <t>N/A</t>
        </is>
      </c>
      <c r="Z45" s="170" t="inlineStr">
        <is>
          <t>N/A</t>
        </is>
      </c>
      <c r="AA45" s="170" t="inlineStr">
        <is>
          <t>N/A</t>
        </is>
      </c>
      <c r="AB45" s="170" t="inlineStr">
        <is>
          <t>N/A</t>
        </is>
      </c>
      <c r="AC45" s="170" t="inlineStr">
        <is>
          <t>N/A</t>
        </is>
      </c>
      <c r="AD45" s="170" t="inlineStr">
        <is>
          <t>N/A</t>
        </is>
      </c>
      <c r="AE45" s="170" t="inlineStr">
        <is>
          <t>N/A</t>
        </is>
      </c>
      <c r="AF45" s="170" t="inlineStr">
        <is>
          <t>N/A</t>
        </is>
      </c>
      <c r="AG45" s="170" t="inlineStr">
        <is>
          <t>N/A</t>
        </is>
      </c>
      <c r="AH45" s="170" t="inlineStr">
        <is>
          <t>N/A</t>
        </is>
      </c>
      <c r="AI45" s="170" t="inlineStr">
        <is>
          <t>N/A</t>
        </is>
      </c>
      <c r="AJ45" s="170" t="inlineStr">
        <is>
          <t>N/A</t>
        </is>
      </c>
      <c r="AK45" s="170" t="inlineStr">
        <is>
          <t>N/A</t>
        </is>
      </c>
      <c r="AL45" s="170" t="inlineStr">
        <is>
          <t>N/A</t>
        </is>
      </c>
      <c r="AM45" s="170" t="inlineStr">
        <is>
          <t>N/A</t>
        </is>
      </c>
      <c r="AN45" s="170" t="inlineStr">
        <is>
          <t>N/A</t>
        </is>
      </c>
      <c r="AO45" s="170" t="inlineStr">
        <is>
          <t>N/A</t>
        </is>
      </c>
      <c r="AP45" s="170" t="inlineStr">
        <is>
          <t>N/A</t>
        </is>
      </c>
      <c r="AQ45" s="170" t="inlineStr">
        <is>
          <t>N/A</t>
        </is>
      </c>
      <c r="AR45" s="170" t="inlineStr">
        <is>
          <t>N/A</t>
        </is>
      </c>
      <c r="AS45" s="170" t="inlineStr">
        <is>
          <t>N/A</t>
        </is>
      </c>
      <c r="AT45" s="170" t="inlineStr">
        <is>
          <t>N/A</t>
        </is>
      </c>
      <c r="AU45" s="170" t="inlineStr">
        <is>
          <t>N/A</t>
        </is>
      </c>
      <c r="AV45" s="170" t="inlineStr">
        <is>
          <t>N/A</t>
        </is>
      </c>
      <c r="AW45" s="170" t="inlineStr">
        <is>
          <t>N/A</t>
        </is>
      </c>
      <c r="AX45" s="170" t="inlineStr">
        <is>
          <t>N/A</t>
        </is>
      </c>
      <c r="AY45" s="170" t="inlineStr">
        <is>
          <t>N/A</t>
        </is>
      </c>
      <c r="AZ45" s="170" t="inlineStr">
        <is>
          <t>N/A</t>
        </is>
      </c>
      <c r="BA45" s="170" t="inlineStr">
        <is>
          <t>N/A</t>
        </is>
      </c>
      <c r="BB45" s="170" t="inlineStr">
        <is>
          <t>N/A</t>
        </is>
      </c>
      <c r="BC45" s="170" t="inlineStr">
        <is>
          <t>N/A</t>
        </is>
      </c>
      <c r="BD45" s="170" t="inlineStr">
        <is>
          <t>N/A</t>
        </is>
      </c>
      <c r="BE45" s="170" t="inlineStr">
        <is>
          <t>N/A</t>
        </is>
      </c>
      <c r="BF45" s="170" t="inlineStr">
        <is>
          <t>N/A</t>
        </is>
      </c>
      <c r="BG45" s="170" t="inlineStr">
        <is>
          <t>N/A</t>
        </is>
      </c>
      <c r="BH45" s="170" t="inlineStr">
        <is>
          <t>N/A</t>
        </is>
      </c>
      <c r="BI45" s="170" t="inlineStr">
        <is>
          <t>N/A</t>
        </is>
      </c>
      <c r="BJ45" s="170" t="inlineStr">
        <is>
          <t>N/A</t>
        </is>
      </c>
      <c r="BK45" s="170" t="inlineStr">
        <is>
          <t>N/A</t>
        </is>
      </c>
      <c r="BL45" s="170" t="inlineStr">
        <is>
          <t>N/A</t>
        </is>
      </c>
      <c r="BM45" s="170" t="inlineStr">
        <is>
          <t>N/A</t>
        </is>
      </c>
      <c r="BN45" s="170" t="inlineStr">
        <is>
          <t>N/A</t>
        </is>
      </c>
      <c r="BO45" s="170" t="inlineStr">
        <is>
          <t>N/A</t>
        </is>
      </c>
      <c r="BP45" s="170" t="inlineStr">
        <is>
          <t>N/A</t>
        </is>
      </c>
      <c r="BQ45" s="170" t="inlineStr">
        <is>
          <t>N/A</t>
        </is>
      </c>
      <c r="BR45" s="170" t="inlineStr">
        <is>
          <t>N/A</t>
        </is>
      </c>
      <c r="BS45" s="170" t="inlineStr">
        <is>
          <t>N/A</t>
        </is>
      </c>
      <c r="BT45" s="170" t="inlineStr">
        <is>
          <t>N/A</t>
        </is>
      </c>
      <c r="BU45" s="170" t="inlineStr">
        <is>
          <t>N/A</t>
        </is>
      </c>
      <c r="BV45" s="170" t="inlineStr">
        <is>
          <t>N/A</t>
        </is>
      </c>
      <c r="BW45" s="170" t="inlineStr">
        <is>
          <t>N/A</t>
        </is>
      </c>
      <c r="BX45" s="170" t="inlineStr">
        <is>
          <t>N/A</t>
        </is>
      </c>
      <c r="BY45" s="170" t="inlineStr">
        <is>
          <t>N/A</t>
        </is>
      </c>
      <c r="BZ45" s="170" t="inlineStr">
        <is>
          <t>N/A</t>
        </is>
      </c>
      <c r="CA45" s="170" t="inlineStr">
        <is>
          <t>N/A</t>
        </is>
      </c>
      <c r="CB45" s="170" t="inlineStr">
        <is>
          <t>N/A</t>
        </is>
      </c>
      <c r="CC45" s="233" t="inlineStr">
        <is>
          <t>N/A</t>
        </is>
      </c>
      <c r="CD45" s="181" t="n"/>
    </row>
    <row r="46">
      <c r="A46" s="83" t="n"/>
      <c r="B46" s="226" t="inlineStr">
        <is>
          <t>Peat</t>
        </is>
      </c>
      <c r="C46" s="226" t="inlineStr">
        <is>
          <t>(p/kWh)</t>
        </is>
      </c>
      <c r="D46" s="170" t="inlineStr">
        <is>
          <t>N/A</t>
        </is>
      </c>
      <c r="E46" s="170" t="inlineStr">
        <is>
          <t>N/A</t>
        </is>
      </c>
      <c r="F46" s="170" t="inlineStr">
        <is>
          <t>N/A</t>
        </is>
      </c>
      <c r="G46" s="170" t="inlineStr">
        <is>
          <t>N/A</t>
        </is>
      </c>
      <c r="H46" s="170" t="inlineStr">
        <is>
          <t>N/A</t>
        </is>
      </c>
      <c r="I46" s="170" t="inlineStr">
        <is>
          <t>N/A</t>
        </is>
      </c>
      <c r="J46" s="170" t="inlineStr">
        <is>
          <t>N/A</t>
        </is>
      </c>
      <c r="K46" s="170" t="inlineStr">
        <is>
          <t>N/A</t>
        </is>
      </c>
      <c r="L46" s="170" t="inlineStr">
        <is>
          <t>N/A</t>
        </is>
      </c>
      <c r="M46" s="170" t="inlineStr">
        <is>
          <t>N/A</t>
        </is>
      </c>
      <c r="N46" s="170" t="inlineStr">
        <is>
          <t>N/A</t>
        </is>
      </c>
      <c r="O46" s="170" t="inlineStr">
        <is>
          <t>N/A</t>
        </is>
      </c>
      <c r="P46" s="170" t="inlineStr">
        <is>
          <t>N/A</t>
        </is>
      </c>
      <c r="Q46" s="170" t="inlineStr">
        <is>
          <t>N/A</t>
        </is>
      </c>
      <c r="R46" s="170" t="inlineStr">
        <is>
          <t>N/A</t>
        </is>
      </c>
      <c r="S46" s="170" t="inlineStr">
        <is>
          <t>N/A</t>
        </is>
      </c>
      <c r="T46" s="170" t="inlineStr">
        <is>
          <t>N/A</t>
        </is>
      </c>
      <c r="U46" s="170" t="inlineStr">
        <is>
          <t>N/A</t>
        </is>
      </c>
      <c r="V46" s="170" t="inlineStr">
        <is>
          <t>N/A</t>
        </is>
      </c>
      <c r="W46" s="170" t="inlineStr">
        <is>
          <t>N/A</t>
        </is>
      </c>
      <c r="X46" s="170" t="inlineStr">
        <is>
          <t>N/A</t>
        </is>
      </c>
      <c r="Y46" s="170" t="inlineStr">
        <is>
          <t>N/A</t>
        </is>
      </c>
      <c r="Z46" s="170" t="inlineStr">
        <is>
          <t>N/A</t>
        </is>
      </c>
      <c r="AA46" s="170" t="inlineStr">
        <is>
          <t>N/A</t>
        </is>
      </c>
      <c r="AB46" s="170" t="inlineStr">
        <is>
          <t>N/A</t>
        </is>
      </c>
      <c r="AC46" s="170" t="inlineStr">
        <is>
          <t>N/A</t>
        </is>
      </c>
      <c r="AD46" s="170" t="inlineStr">
        <is>
          <t>N/A</t>
        </is>
      </c>
      <c r="AE46" s="170" t="inlineStr">
        <is>
          <t>N/A</t>
        </is>
      </c>
      <c r="AF46" s="170" t="inlineStr">
        <is>
          <t>N/A</t>
        </is>
      </c>
      <c r="AG46" s="170" t="inlineStr">
        <is>
          <t>N/A</t>
        </is>
      </c>
      <c r="AH46" s="170" t="inlineStr">
        <is>
          <t>N/A</t>
        </is>
      </c>
      <c r="AI46" s="170" t="inlineStr">
        <is>
          <t>N/A</t>
        </is>
      </c>
      <c r="AJ46" s="170" t="inlineStr">
        <is>
          <t>N/A</t>
        </is>
      </c>
      <c r="AK46" s="170" t="inlineStr">
        <is>
          <t>N/A</t>
        </is>
      </c>
      <c r="AL46" s="170" t="inlineStr">
        <is>
          <t>N/A</t>
        </is>
      </c>
      <c r="AM46" s="170" t="inlineStr">
        <is>
          <t>N/A</t>
        </is>
      </c>
      <c r="AN46" s="170" t="inlineStr">
        <is>
          <t>N/A</t>
        </is>
      </c>
      <c r="AO46" s="170" t="inlineStr">
        <is>
          <t>N/A</t>
        </is>
      </c>
      <c r="AP46" s="170" t="inlineStr">
        <is>
          <t>N/A</t>
        </is>
      </c>
      <c r="AQ46" s="170" t="inlineStr">
        <is>
          <t>N/A</t>
        </is>
      </c>
      <c r="AR46" s="170" t="inlineStr">
        <is>
          <t>N/A</t>
        </is>
      </c>
      <c r="AS46" s="170" t="inlineStr">
        <is>
          <t>N/A</t>
        </is>
      </c>
      <c r="AT46" s="170" t="inlineStr">
        <is>
          <t>N/A</t>
        </is>
      </c>
      <c r="AU46" s="170" t="inlineStr">
        <is>
          <t>N/A</t>
        </is>
      </c>
      <c r="AV46" s="170" t="inlineStr">
        <is>
          <t>N/A</t>
        </is>
      </c>
      <c r="AW46" s="170" t="inlineStr">
        <is>
          <t>N/A</t>
        </is>
      </c>
      <c r="AX46" s="170" t="inlineStr">
        <is>
          <t>N/A</t>
        </is>
      </c>
      <c r="AY46" s="170" t="inlineStr">
        <is>
          <t>N/A</t>
        </is>
      </c>
      <c r="AZ46" s="170" t="inlineStr">
        <is>
          <t>N/A</t>
        </is>
      </c>
      <c r="BA46" s="170" t="inlineStr">
        <is>
          <t>N/A</t>
        </is>
      </c>
      <c r="BB46" s="170" t="inlineStr">
        <is>
          <t>N/A</t>
        </is>
      </c>
      <c r="BC46" s="170" t="inlineStr">
        <is>
          <t>N/A</t>
        </is>
      </c>
      <c r="BD46" s="170" t="inlineStr">
        <is>
          <t>N/A</t>
        </is>
      </c>
      <c r="BE46" s="170" t="inlineStr">
        <is>
          <t>N/A</t>
        </is>
      </c>
      <c r="BF46" s="170" t="inlineStr">
        <is>
          <t>N/A</t>
        </is>
      </c>
      <c r="BG46" s="170" t="inlineStr">
        <is>
          <t>N/A</t>
        </is>
      </c>
      <c r="BH46" s="170" t="inlineStr">
        <is>
          <t>N/A</t>
        </is>
      </c>
      <c r="BI46" s="170" t="inlineStr">
        <is>
          <t>N/A</t>
        </is>
      </c>
      <c r="BJ46" s="170" t="inlineStr">
        <is>
          <t>N/A</t>
        </is>
      </c>
      <c r="BK46" s="170" t="inlineStr">
        <is>
          <t>N/A</t>
        </is>
      </c>
      <c r="BL46" s="170" t="inlineStr">
        <is>
          <t>N/A</t>
        </is>
      </c>
      <c r="BM46" s="170" t="inlineStr">
        <is>
          <t>N/A</t>
        </is>
      </c>
      <c r="BN46" s="170" t="inlineStr">
        <is>
          <t>N/A</t>
        </is>
      </c>
      <c r="BO46" s="170" t="inlineStr">
        <is>
          <t>N/A</t>
        </is>
      </c>
      <c r="BP46" s="170" t="inlineStr">
        <is>
          <t>N/A</t>
        </is>
      </c>
      <c r="BQ46" s="170" t="inlineStr">
        <is>
          <t>N/A</t>
        </is>
      </c>
      <c r="BR46" s="170" t="inlineStr">
        <is>
          <t>N/A</t>
        </is>
      </c>
      <c r="BS46" s="170" t="inlineStr">
        <is>
          <t>N/A</t>
        </is>
      </c>
      <c r="BT46" s="170" t="inlineStr">
        <is>
          <t>N/A</t>
        </is>
      </c>
      <c r="BU46" s="170" t="inlineStr">
        <is>
          <t>N/A</t>
        </is>
      </c>
      <c r="BV46" s="170" t="inlineStr">
        <is>
          <t>N/A</t>
        </is>
      </c>
      <c r="BW46" s="170" t="inlineStr">
        <is>
          <t>N/A</t>
        </is>
      </c>
      <c r="BX46" s="170" t="inlineStr">
        <is>
          <t>N/A</t>
        </is>
      </c>
      <c r="BY46" s="170" t="inlineStr">
        <is>
          <t>N/A</t>
        </is>
      </c>
      <c r="BZ46" s="170" t="inlineStr">
        <is>
          <t>N/A</t>
        </is>
      </c>
      <c r="CA46" s="170" t="inlineStr">
        <is>
          <t>N/A</t>
        </is>
      </c>
      <c r="CB46" s="170" t="inlineStr">
        <is>
          <t>N/A</t>
        </is>
      </c>
      <c r="CC46" s="233" t="inlineStr">
        <is>
          <t>N/A</t>
        </is>
      </c>
      <c r="CD46" s="181" t="n"/>
    </row>
    <row r="47">
      <c r="A47" s="83" t="n"/>
      <c r="B47" s="226" t="inlineStr">
        <is>
          <t>Petroleum coke</t>
        </is>
      </c>
      <c r="C47" s="226" t="inlineStr">
        <is>
          <t>(p/kWh)</t>
        </is>
      </c>
      <c r="D47" s="165" t="n">
        <v>26.76</v>
      </c>
      <c r="E47" s="165" t="n">
        <v>26.76</v>
      </c>
      <c r="F47" s="165" t="n">
        <v>26.76</v>
      </c>
      <c r="G47" s="165" t="n">
        <v>26.76</v>
      </c>
      <c r="H47" s="165" t="n">
        <v>26.76</v>
      </c>
      <c r="I47" s="165" t="n">
        <v>26.76</v>
      </c>
      <c r="J47" s="165" t="n">
        <v>26.76</v>
      </c>
      <c r="K47" s="165" t="n">
        <v>26.76</v>
      </c>
      <c r="L47" s="165" t="n">
        <v>26.76</v>
      </c>
      <c r="M47" s="165" t="n">
        <v>26.76</v>
      </c>
      <c r="N47" s="165" t="n">
        <v>26.76</v>
      </c>
      <c r="O47" s="165" t="n">
        <v>26.76</v>
      </c>
      <c r="P47" s="165" t="n">
        <v>26.76</v>
      </c>
      <c r="Q47" s="165" t="n">
        <v>26.76</v>
      </c>
      <c r="R47" s="165" t="n">
        <v>26.76</v>
      </c>
      <c r="S47" s="165" t="n">
        <v>26.76</v>
      </c>
      <c r="T47" s="165" t="n">
        <v>26.76</v>
      </c>
      <c r="U47" s="165" t="n">
        <v>26.76</v>
      </c>
      <c r="V47" s="165" t="n">
        <v>26.76</v>
      </c>
      <c r="W47" s="165" t="n">
        <v>26.76</v>
      </c>
      <c r="X47" s="165" t="n">
        <v>26.76</v>
      </c>
      <c r="Y47" s="165" t="n">
        <v>26.76</v>
      </c>
      <c r="Z47" s="165" t="n">
        <v>26.76</v>
      </c>
      <c r="AA47" s="165" t="n">
        <v>26.76</v>
      </c>
      <c r="AB47" s="165" t="n">
        <v>26.76</v>
      </c>
      <c r="AC47" s="165" t="n">
        <v>26.76</v>
      </c>
      <c r="AD47" s="165" t="n">
        <v>26.76</v>
      </c>
      <c r="AE47" s="165" t="n">
        <v>26.76</v>
      </c>
      <c r="AF47" s="165" t="n">
        <v>26.76</v>
      </c>
      <c r="AG47" s="165" t="n">
        <v>26.76</v>
      </c>
      <c r="AH47" s="165" t="n">
        <v>26.76</v>
      </c>
      <c r="AI47" s="165" t="n">
        <v>26.76</v>
      </c>
      <c r="AJ47" s="165" t="n">
        <v>26.76</v>
      </c>
      <c r="AK47" s="165" t="n">
        <v>26.76</v>
      </c>
      <c r="AL47" s="165" t="n">
        <v>26.76</v>
      </c>
      <c r="AM47" s="165" t="n">
        <v>26.76</v>
      </c>
      <c r="AN47" s="165" t="n">
        <v>26.76</v>
      </c>
      <c r="AO47" s="165" t="n">
        <v>26.76</v>
      </c>
      <c r="AP47" s="165" t="n">
        <v>26.76</v>
      </c>
      <c r="AQ47" s="165" t="n">
        <v>26.76</v>
      </c>
      <c r="AR47" s="165" t="n">
        <v>26.76</v>
      </c>
      <c r="AS47" s="165" t="n">
        <v>26.76</v>
      </c>
      <c r="AT47" s="165" t="n">
        <v>26.76</v>
      </c>
      <c r="AU47" s="165" t="n">
        <v>26.76</v>
      </c>
      <c r="AV47" s="165" t="n">
        <v>26.76</v>
      </c>
      <c r="AW47" s="165" t="n">
        <v>26.76</v>
      </c>
      <c r="AX47" s="165" t="n">
        <v>26.76</v>
      </c>
      <c r="AY47" s="165" t="n">
        <v>26.76</v>
      </c>
      <c r="AZ47" s="165" t="n">
        <v>26.76</v>
      </c>
      <c r="BA47" s="165" t="n">
        <v>26.76</v>
      </c>
      <c r="BB47" s="165" t="n">
        <v>26.76</v>
      </c>
      <c r="BC47" s="165" t="n">
        <v>26.76</v>
      </c>
      <c r="BD47" s="165" t="n">
        <v>26.76</v>
      </c>
      <c r="BE47" s="165" t="n">
        <v>26.76</v>
      </c>
      <c r="BF47" s="165" t="n">
        <v>26.76</v>
      </c>
      <c r="BG47" s="165" t="n">
        <v>26.76</v>
      </c>
      <c r="BH47" s="165" t="n">
        <v>26.76</v>
      </c>
      <c r="BI47" s="165" t="n">
        <v>26.76</v>
      </c>
      <c r="BJ47" s="165" t="n">
        <v>26.76</v>
      </c>
      <c r="BK47" s="165" t="n">
        <v>26.76</v>
      </c>
      <c r="BL47" s="165" t="n">
        <v>26.76</v>
      </c>
      <c r="BM47" s="165" t="n">
        <v>26.76</v>
      </c>
      <c r="BN47" s="165" t="n">
        <v>26.76</v>
      </c>
      <c r="BO47" s="165" t="n">
        <v>26.76</v>
      </c>
      <c r="BP47" s="165" t="n">
        <v>26.76</v>
      </c>
      <c r="BQ47" s="165" t="n">
        <v>26.76</v>
      </c>
      <c r="BR47" s="165" t="n">
        <v>26.76</v>
      </c>
      <c r="BS47" s="165" t="n">
        <v>26.76</v>
      </c>
      <c r="BT47" s="165" t="n">
        <v>26.76</v>
      </c>
      <c r="BU47" s="165" t="n">
        <v>26.76</v>
      </c>
      <c r="BV47" s="165" t="n">
        <v>26.76</v>
      </c>
      <c r="BW47" s="165" t="n">
        <v>26.76</v>
      </c>
      <c r="BX47" s="165" t="n">
        <v>26.76</v>
      </c>
      <c r="BY47" s="165" t="n">
        <v>26.76</v>
      </c>
      <c r="BZ47" s="165" t="n">
        <v>26.76</v>
      </c>
      <c r="CA47" s="165" t="n">
        <v>26.76</v>
      </c>
      <c r="CB47" s="165" t="n">
        <v>26.76</v>
      </c>
      <c r="CC47" s="166" t="n">
        <v>26.76</v>
      </c>
      <c r="CD47" s="181" t="n"/>
    </row>
    <row r="48">
      <c r="A48" s="83" t="n"/>
      <c r="B48" s="169" t="n"/>
      <c r="C48" s="169" t="n"/>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31" t="n"/>
      <c r="AJ48" s="231" t="n"/>
      <c r="AK48" s="231" t="n"/>
      <c r="AL48" s="231" t="n"/>
      <c r="AM48" s="231" t="n"/>
      <c r="AN48" s="231" t="n"/>
      <c r="AO48" s="231" t="n"/>
      <c r="AP48" s="231" t="n"/>
      <c r="AQ48" s="231" t="n"/>
      <c r="AR48" s="231" t="n"/>
      <c r="AS48" s="231" t="n"/>
      <c r="AT48" s="231" t="n"/>
      <c r="AU48" s="231" t="n"/>
      <c r="AV48" s="231" t="n"/>
      <c r="AW48" s="231" t="n"/>
      <c r="AX48" s="231" t="n"/>
      <c r="AY48" s="231" t="n"/>
      <c r="AZ48" s="231" t="n"/>
      <c r="BA48" s="231" t="n"/>
      <c r="BB48" s="231" t="n"/>
      <c r="BC48" s="231" t="n"/>
      <c r="BD48" s="231" t="n"/>
      <c r="BE48" s="231" t="n"/>
      <c r="BF48" s="231" t="n"/>
      <c r="BG48" s="231" t="n"/>
      <c r="BH48" s="231" t="n"/>
      <c r="BI48" s="231" t="n"/>
      <c r="BJ48" s="231" t="n"/>
      <c r="BK48" s="231" t="n"/>
      <c r="BL48" s="231" t="n"/>
      <c r="BM48" s="231" t="n"/>
      <c r="BN48" s="231" t="n"/>
      <c r="BO48" s="231" t="n"/>
      <c r="BP48" s="231" t="n"/>
      <c r="BQ48" s="231" t="n"/>
      <c r="BR48" s="231" t="n"/>
      <c r="BS48" s="231" t="n"/>
      <c r="BT48" s="231" t="n"/>
      <c r="BU48" s="231" t="n"/>
      <c r="BV48" s="231" t="n"/>
      <c r="BW48" s="231" t="n"/>
      <c r="BX48" s="231" t="n"/>
      <c r="BY48" s="231" t="n"/>
      <c r="BZ48" s="231" t="n"/>
      <c r="CA48" s="231" t="n"/>
      <c r="CB48" s="231" t="n"/>
      <c r="CC48" s="231" t="n"/>
      <c r="CD48" s="169" t="n"/>
    </row>
    <row r="49">
      <c r="A49" s="83" t="n"/>
      <c r="B49" s="234" t="inlineStr">
        <is>
          <t>DOMESTIC: Urban small</t>
        </is>
      </c>
      <c r="C49" s="225" t="n"/>
      <c r="D49" s="167" t="n"/>
      <c r="E49" s="167" t="n"/>
      <c r="F49" s="167" t="n"/>
      <c r="G49" s="167" t="n"/>
      <c r="H49" s="167" t="n"/>
      <c r="I49" s="167" t="n"/>
      <c r="J49" s="167" t="n"/>
      <c r="K49" s="167" t="n"/>
      <c r="L49" s="167" t="n"/>
      <c r="M49" s="167" t="n"/>
      <c r="N49" s="167" t="n"/>
      <c r="O49" s="167" t="n"/>
      <c r="P49" s="167" t="n"/>
      <c r="Q49" s="167" t="n"/>
      <c r="R49" s="167" t="n"/>
      <c r="S49" s="167" t="n"/>
      <c r="T49" s="167" t="n"/>
      <c r="U49" s="167" t="n"/>
      <c r="V49" s="167" t="n"/>
      <c r="W49" s="167" t="n"/>
      <c r="X49" s="167" t="n"/>
      <c r="Y49" s="167" t="n"/>
      <c r="Z49" s="167" t="n"/>
      <c r="AA49" s="167" t="n"/>
      <c r="AB49" s="167" t="n"/>
      <c r="AC49" s="167" t="n"/>
      <c r="AD49" s="167" t="n"/>
      <c r="AE49" s="167" t="n"/>
      <c r="AF49" s="167" t="n"/>
      <c r="AG49" s="167" t="n"/>
      <c r="AH49" s="167" t="n"/>
      <c r="AI49" s="167" t="n"/>
      <c r="AJ49" s="167" t="n"/>
      <c r="AK49" s="167" t="n"/>
      <c r="AL49" s="167" t="n"/>
      <c r="AM49" s="167" t="n"/>
      <c r="AN49" s="167" t="n"/>
      <c r="AO49" s="167" t="n"/>
      <c r="AP49" s="167" t="n"/>
      <c r="AQ49" s="167" t="n"/>
      <c r="AR49" s="167" t="n"/>
      <c r="AS49" s="167" t="n"/>
      <c r="AT49" s="167" t="n"/>
      <c r="AU49" s="167" t="n"/>
      <c r="AV49" s="167" t="n"/>
      <c r="AW49" s="167" t="n"/>
      <c r="AX49" s="167" t="n"/>
      <c r="AY49" s="167" t="n"/>
      <c r="AZ49" s="167" t="n"/>
      <c r="BA49" s="167" t="n"/>
      <c r="BB49" s="167" t="n"/>
      <c r="BC49" s="167" t="n"/>
      <c r="BD49" s="167" t="n"/>
      <c r="BE49" s="167" t="n"/>
      <c r="BF49" s="167" t="n"/>
      <c r="BG49" s="167" t="n"/>
      <c r="BH49" s="167" t="n"/>
      <c r="BI49" s="167" t="n"/>
      <c r="BJ49" s="167" t="n"/>
      <c r="BK49" s="167" t="n"/>
      <c r="BL49" s="167" t="n"/>
      <c r="BM49" s="167" t="n"/>
      <c r="BN49" s="167" t="n"/>
      <c r="BO49" s="167" t="n"/>
      <c r="BP49" s="167" t="n"/>
      <c r="BQ49" s="167" t="n"/>
      <c r="BR49" s="167" t="n"/>
      <c r="BS49" s="167" t="n"/>
      <c r="BT49" s="167" t="n"/>
      <c r="BU49" s="167" t="n"/>
      <c r="BV49" s="167" t="n"/>
      <c r="BW49" s="167" t="n"/>
      <c r="BX49" s="167" t="n"/>
      <c r="BY49" s="167" t="n"/>
      <c r="BZ49" s="167" t="n"/>
      <c r="CA49" s="167" t="n"/>
      <c r="CB49" s="167" t="n"/>
      <c r="CC49" s="232" t="n"/>
      <c r="CD49" s="181" t="n"/>
    </row>
    <row r="50">
      <c r="A50" s="83" t="n"/>
      <c r="B50" s="226" t="inlineStr">
        <is>
          <t>Gas</t>
        </is>
      </c>
      <c r="C50" s="226" t="inlineStr">
        <is>
          <t>(p/kWh)</t>
        </is>
      </c>
      <c r="D50" s="161" t="n">
        <v>0.08</v>
      </c>
      <c r="E50" s="161" t="n">
        <v>0.08</v>
      </c>
      <c r="F50" s="161" t="n">
        <v>0.08</v>
      </c>
      <c r="G50" s="161" t="n">
        <v>0.08</v>
      </c>
      <c r="H50" s="161" t="n">
        <v>0.08</v>
      </c>
      <c r="I50" s="161" t="n">
        <v>0.08</v>
      </c>
      <c r="J50" s="161" t="n">
        <v>0.08</v>
      </c>
      <c r="K50" s="161" t="n">
        <v>0.08</v>
      </c>
      <c r="L50" s="161" t="n">
        <v>0.08</v>
      </c>
      <c r="M50" s="161" t="n">
        <v>0.08</v>
      </c>
      <c r="N50" s="161" t="n">
        <v>0.08</v>
      </c>
      <c r="O50" s="161" t="n">
        <v>0.08</v>
      </c>
      <c r="P50" s="161" t="n">
        <v>0.08</v>
      </c>
      <c r="Q50" s="161" t="n">
        <v>0.08</v>
      </c>
      <c r="R50" s="161" t="n">
        <v>0.08</v>
      </c>
      <c r="S50" s="161" t="n">
        <v>0.08</v>
      </c>
      <c r="T50" s="161" t="n">
        <v>0.08</v>
      </c>
      <c r="U50" s="161" t="n">
        <v>0.08</v>
      </c>
      <c r="V50" s="161" t="n">
        <v>0.08</v>
      </c>
      <c r="W50" s="161" t="n">
        <v>0.08</v>
      </c>
      <c r="X50" s="161" t="n">
        <v>0.08</v>
      </c>
      <c r="Y50" s="161" t="n">
        <v>0.08</v>
      </c>
      <c r="Z50" s="161" t="n">
        <v>0.08</v>
      </c>
      <c r="AA50" s="161" t="n">
        <v>0.08</v>
      </c>
      <c r="AB50" s="161" t="n">
        <v>0.08</v>
      </c>
      <c r="AC50" s="161" t="n">
        <v>0.08</v>
      </c>
      <c r="AD50" s="161" t="n">
        <v>0.08</v>
      </c>
      <c r="AE50" s="161" t="n">
        <v>0.08</v>
      </c>
      <c r="AF50" s="161" t="n">
        <v>0.08</v>
      </c>
      <c r="AG50" s="161" t="n">
        <v>0.08</v>
      </c>
      <c r="AH50" s="161" t="n">
        <v>0.08</v>
      </c>
      <c r="AI50" s="161" t="n">
        <v>0.08</v>
      </c>
      <c r="AJ50" s="161" t="n">
        <v>0.08</v>
      </c>
      <c r="AK50" s="161" t="n">
        <v>0.08</v>
      </c>
      <c r="AL50" s="161" t="n">
        <v>0.08</v>
      </c>
      <c r="AM50" s="161" t="n">
        <v>0.08</v>
      </c>
      <c r="AN50" s="161" t="n">
        <v>0.08</v>
      </c>
      <c r="AO50" s="161" t="n">
        <v>0.08</v>
      </c>
      <c r="AP50" s="161" t="n">
        <v>0.08</v>
      </c>
      <c r="AQ50" s="161" t="n">
        <v>0.08</v>
      </c>
      <c r="AR50" s="161" t="n">
        <v>0.08</v>
      </c>
      <c r="AS50" s="161" t="n">
        <v>0.08</v>
      </c>
      <c r="AT50" s="161" t="n">
        <v>0.08</v>
      </c>
      <c r="AU50" s="161" t="n">
        <v>0.08</v>
      </c>
      <c r="AV50" s="161" t="n">
        <v>0.08</v>
      </c>
      <c r="AW50" s="161" t="n">
        <v>0.08</v>
      </c>
      <c r="AX50" s="161" t="n">
        <v>0.08</v>
      </c>
      <c r="AY50" s="161" t="n">
        <v>0.08</v>
      </c>
      <c r="AZ50" s="161" t="n">
        <v>0.08</v>
      </c>
      <c r="BA50" s="161" t="n">
        <v>0.08</v>
      </c>
      <c r="BB50" s="161" t="n">
        <v>0.08</v>
      </c>
      <c r="BC50" s="161" t="n">
        <v>0.08</v>
      </c>
      <c r="BD50" s="161" t="n">
        <v>0.08</v>
      </c>
      <c r="BE50" s="161" t="n">
        <v>0.08</v>
      </c>
      <c r="BF50" s="161" t="n">
        <v>0.08</v>
      </c>
      <c r="BG50" s="161" t="n">
        <v>0.08</v>
      </c>
      <c r="BH50" s="161" t="n">
        <v>0.08</v>
      </c>
      <c r="BI50" s="161" t="n">
        <v>0.08</v>
      </c>
      <c r="BJ50" s="161" t="n">
        <v>0.08</v>
      </c>
      <c r="BK50" s="161" t="n">
        <v>0.08</v>
      </c>
      <c r="BL50" s="161" t="n">
        <v>0.08</v>
      </c>
      <c r="BM50" s="161" t="n">
        <v>0.08</v>
      </c>
      <c r="BN50" s="161" t="n">
        <v>0.08</v>
      </c>
      <c r="BO50" s="161" t="n">
        <v>0.08</v>
      </c>
      <c r="BP50" s="161" t="n">
        <v>0.08</v>
      </c>
      <c r="BQ50" s="161" t="n">
        <v>0.08</v>
      </c>
      <c r="BR50" s="161" t="n">
        <v>0.08</v>
      </c>
      <c r="BS50" s="161" t="n">
        <v>0.08</v>
      </c>
      <c r="BT50" s="161" t="n">
        <v>0.08</v>
      </c>
      <c r="BU50" s="161" t="n">
        <v>0.08</v>
      </c>
      <c r="BV50" s="161" t="n">
        <v>0.08</v>
      </c>
      <c r="BW50" s="161" t="n">
        <v>0.08</v>
      </c>
      <c r="BX50" s="161" t="n">
        <v>0.08</v>
      </c>
      <c r="BY50" s="161" t="n">
        <v>0.08</v>
      </c>
      <c r="BZ50" s="161" t="n">
        <v>0.08</v>
      </c>
      <c r="CA50" s="161" t="n">
        <v>0.08</v>
      </c>
      <c r="CB50" s="161" t="n">
        <v>0.08</v>
      </c>
      <c r="CC50" s="162" t="n">
        <v>0.08</v>
      </c>
      <c r="CD50" s="181" t="n"/>
    </row>
    <row r="51">
      <c r="A51" s="83" t="n"/>
      <c r="B51" s="226" t="inlineStr">
        <is>
          <t>Coal</t>
        </is>
      </c>
      <c r="C51" s="226" t="inlineStr">
        <is>
          <t>(p/kWh)</t>
        </is>
      </c>
      <c r="D51" s="161" t="n">
        <v>6.67</v>
      </c>
      <c r="E51" s="161" t="n">
        <v>6.67</v>
      </c>
      <c r="F51" s="161" t="n">
        <v>6.67</v>
      </c>
      <c r="G51" s="161" t="n">
        <v>6.67</v>
      </c>
      <c r="H51" s="161" t="n">
        <v>6.67</v>
      </c>
      <c r="I51" s="161" t="n">
        <v>6.67</v>
      </c>
      <c r="J51" s="161" t="n">
        <v>6.67</v>
      </c>
      <c r="K51" s="161" t="n">
        <v>6.67</v>
      </c>
      <c r="L51" s="161" t="n">
        <v>6.67</v>
      </c>
      <c r="M51" s="161" t="n">
        <v>6.67</v>
      </c>
      <c r="N51" s="161" t="n">
        <v>6.67</v>
      </c>
      <c r="O51" s="161" t="n">
        <v>6.67</v>
      </c>
      <c r="P51" s="161" t="n">
        <v>6.67</v>
      </c>
      <c r="Q51" s="161" t="n">
        <v>6.67</v>
      </c>
      <c r="R51" s="161" t="n">
        <v>6.67</v>
      </c>
      <c r="S51" s="161" t="n">
        <v>6.67</v>
      </c>
      <c r="T51" s="161" t="n">
        <v>6.67</v>
      </c>
      <c r="U51" s="161" t="n">
        <v>6.67</v>
      </c>
      <c r="V51" s="161" t="n">
        <v>6.67</v>
      </c>
      <c r="W51" s="161" t="n">
        <v>6.67</v>
      </c>
      <c r="X51" s="161" t="n">
        <v>6.67</v>
      </c>
      <c r="Y51" s="161" t="n">
        <v>6.67</v>
      </c>
      <c r="Z51" s="161" t="n">
        <v>6.67</v>
      </c>
      <c r="AA51" s="161" t="n">
        <v>6.67</v>
      </c>
      <c r="AB51" s="161" t="n">
        <v>6.67</v>
      </c>
      <c r="AC51" s="161" t="n">
        <v>6.67</v>
      </c>
      <c r="AD51" s="161" t="n">
        <v>6.67</v>
      </c>
      <c r="AE51" s="161" t="n">
        <v>6.67</v>
      </c>
      <c r="AF51" s="161" t="n">
        <v>6.67</v>
      </c>
      <c r="AG51" s="161" t="n">
        <v>6.67</v>
      </c>
      <c r="AH51" s="161" t="n">
        <v>6.67</v>
      </c>
      <c r="AI51" s="161" t="n">
        <v>6.67</v>
      </c>
      <c r="AJ51" s="161" t="n">
        <v>6.67</v>
      </c>
      <c r="AK51" s="161" t="n">
        <v>6.67</v>
      </c>
      <c r="AL51" s="161" t="n">
        <v>6.67</v>
      </c>
      <c r="AM51" s="161" t="n">
        <v>6.67</v>
      </c>
      <c r="AN51" s="161" t="n">
        <v>6.67</v>
      </c>
      <c r="AO51" s="161" t="n">
        <v>6.67</v>
      </c>
      <c r="AP51" s="161" t="n">
        <v>6.67</v>
      </c>
      <c r="AQ51" s="161" t="n">
        <v>6.67</v>
      </c>
      <c r="AR51" s="161" t="n">
        <v>6.67</v>
      </c>
      <c r="AS51" s="161" t="n">
        <v>6.67</v>
      </c>
      <c r="AT51" s="161" t="n">
        <v>6.67</v>
      </c>
      <c r="AU51" s="161" t="n">
        <v>6.67</v>
      </c>
      <c r="AV51" s="161" t="n">
        <v>6.67</v>
      </c>
      <c r="AW51" s="161" t="n">
        <v>6.67</v>
      </c>
      <c r="AX51" s="161" t="n">
        <v>6.67</v>
      </c>
      <c r="AY51" s="161" t="n">
        <v>6.67</v>
      </c>
      <c r="AZ51" s="161" t="n">
        <v>6.67</v>
      </c>
      <c r="BA51" s="161" t="n">
        <v>6.67</v>
      </c>
      <c r="BB51" s="161" t="n">
        <v>6.67</v>
      </c>
      <c r="BC51" s="161" t="n">
        <v>6.67</v>
      </c>
      <c r="BD51" s="161" t="n">
        <v>6.67</v>
      </c>
      <c r="BE51" s="161" t="n">
        <v>6.67</v>
      </c>
      <c r="BF51" s="161" t="n">
        <v>6.67</v>
      </c>
      <c r="BG51" s="161" t="n">
        <v>6.67</v>
      </c>
      <c r="BH51" s="161" t="n">
        <v>6.67</v>
      </c>
      <c r="BI51" s="161" t="n">
        <v>6.67</v>
      </c>
      <c r="BJ51" s="161" t="n">
        <v>6.67</v>
      </c>
      <c r="BK51" s="161" t="n">
        <v>6.67</v>
      </c>
      <c r="BL51" s="161" t="n">
        <v>6.67</v>
      </c>
      <c r="BM51" s="161" t="n">
        <v>6.67</v>
      </c>
      <c r="BN51" s="161" t="n">
        <v>6.67</v>
      </c>
      <c r="BO51" s="161" t="n">
        <v>6.67</v>
      </c>
      <c r="BP51" s="161" t="n">
        <v>6.67</v>
      </c>
      <c r="BQ51" s="161" t="n">
        <v>6.67</v>
      </c>
      <c r="BR51" s="161" t="n">
        <v>6.67</v>
      </c>
      <c r="BS51" s="161" t="n">
        <v>6.67</v>
      </c>
      <c r="BT51" s="161" t="n">
        <v>6.67</v>
      </c>
      <c r="BU51" s="161" t="n">
        <v>6.67</v>
      </c>
      <c r="BV51" s="161" t="n">
        <v>6.67</v>
      </c>
      <c r="BW51" s="161" t="n">
        <v>6.67</v>
      </c>
      <c r="BX51" s="161" t="n">
        <v>6.67</v>
      </c>
      <c r="BY51" s="161" t="n">
        <v>6.67</v>
      </c>
      <c r="BZ51" s="161" t="n">
        <v>6.67</v>
      </c>
      <c r="CA51" s="161" t="n">
        <v>6.67</v>
      </c>
      <c r="CB51" s="161" t="n">
        <v>6.67</v>
      </c>
      <c r="CC51" s="162" t="n">
        <v>6.67</v>
      </c>
      <c r="CD51" s="181" t="n"/>
    </row>
    <row r="52">
      <c r="A52" s="83" t="n"/>
      <c r="B52" s="226" t="inlineStr">
        <is>
          <t>Burning oil</t>
        </is>
      </c>
      <c r="C52" s="226" t="inlineStr">
        <is>
          <t>(p/kWh)</t>
        </is>
      </c>
      <c r="D52" s="161" t="n">
        <v>0.17</v>
      </c>
      <c r="E52" s="161" t="n">
        <v>0.17</v>
      </c>
      <c r="F52" s="161" t="n">
        <v>0.17</v>
      </c>
      <c r="G52" s="161" t="n">
        <v>0.17</v>
      </c>
      <c r="H52" s="161" t="n">
        <v>0.17</v>
      </c>
      <c r="I52" s="161" t="n">
        <v>0.17</v>
      </c>
      <c r="J52" s="161" t="n">
        <v>0.17</v>
      </c>
      <c r="K52" s="161" t="n">
        <v>0.17</v>
      </c>
      <c r="L52" s="161" t="n">
        <v>0.17</v>
      </c>
      <c r="M52" s="161" t="n">
        <v>0.17</v>
      </c>
      <c r="N52" s="161" t="n">
        <v>0.17</v>
      </c>
      <c r="O52" s="161" t="n">
        <v>0.17</v>
      </c>
      <c r="P52" s="161" t="n">
        <v>0.17</v>
      </c>
      <c r="Q52" s="161" t="n">
        <v>0.17</v>
      </c>
      <c r="R52" s="161" t="n">
        <v>0.17</v>
      </c>
      <c r="S52" s="161" t="n">
        <v>0.17</v>
      </c>
      <c r="T52" s="161" t="n">
        <v>0.17</v>
      </c>
      <c r="U52" s="161" t="n">
        <v>0.17</v>
      </c>
      <c r="V52" s="161" t="n">
        <v>0.17</v>
      </c>
      <c r="W52" s="161" t="n">
        <v>0.17</v>
      </c>
      <c r="X52" s="161" t="n">
        <v>0.17</v>
      </c>
      <c r="Y52" s="161" t="n">
        <v>0.17</v>
      </c>
      <c r="Z52" s="161" t="n">
        <v>0.17</v>
      </c>
      <c r="AA52" s="161" t="n">
        <v>0.17</v>
      </c>
      <c r="AB52" s="161" t="n">
        <v>0.17</v>
      </c>
      <c r="AC52" s="161" t="n">
        <v>0.17</v>
      </c>
      <c r="AD52" s="161" t="n">
        <v>0.17</v>
      </c>
      <c r="AE52" s="161" t="n">
        <v>0.17</v>
      </c>
      <c r="AF52" s="161" t="n">
        <v>0.17</v>
      </c>
      <c r="AG52" s="161" t="n">
        <v>0.17</v>
      </c>
      <c r="AH52" s="161" t="n">
        <v>0.17</v>
      </c>
      <c r="AI52" s="161" t="n">
        <v>0.17</v>
      </c>
      <c r="AJ52" s="161" t="n">
        <v>0.17</v>
      </c>
      <c r="AK52" s="161" t="n">
        <v>0.17</v>
      </c>
      <c r="AL52" s="161" t="n">
        <v>0.17</v>
      </c>
      <c r="AM52" s="161" t="n">
        <v>0.17</v>
      </c>
      <c r="AN52" s="161" t="n">
        <v>0.17</v>
      </c>
      <c r="AO52" s="161" t="n">
        <v>0.17</v>
      </c>
      <c r="AP52" s="161" t="n">
        <v>0.17</v>
      </c>
      <c r="AQ52" s="161" t="n">
        <v>0.17</v>
      </c>
      <c r="AR52" s="161" t="n">
        <v>0.17</v>
      </c>
      <c r="AS52" s="161" t="n">
        <v>0.17</v>
      </c>
      <c r="AT52" s="161" t="n">
        <v>0.17</v>
      </c>
      <c r="AU52" s="161" t="n">
        <v>0.17</v>
      </c>
      <c r="AV52" s="161" t="n">
        <v>0.17</v>
      </c>
      <c r="AW52" s="161" t="n">
        <v>0.17</v>
      </c>
      <c r="AX52" s="161" t="n">
        <v>0.17</v>
      </c>
      <c r="AY52" s="161" t="n">
        <v>0.17</v>
      </c>
      <c r="AZ52" s="161" t="n">
        <v>0.17</v>
      </c>
      <c r="BA52" s="161" t="n">
        <v>0.17</v>
      </c>
      <c r="BB52" s="161" t="n">
        <v>0.17</v>
      </c>
      <c r="BC52" s="161" t="n">
        <v>0.17</v>
      </c>
      <c r="BD52" s="161" t="n">
        <v>0.17</v>
      </c>
      <c r="BE52" s="161" t="n">
        <v>0.17</v>
      </c>
      <c r="BF52" s="161" t="n">
        <v>0.17</v>
      </c>
      <c r="BG52" s="161" t="n">
        <v>0.17</v>
      </c>
      <c r="BH52" s="161" t="n">
        <v>0.17</v>
      </c>
      <c r="BI52" s="161" t="n">
        <v>0.17</v>
      </c>
      <c r="BJ52" s="161" t="n">
        <v>0.17</v>
      </c>
      <c r="BK52" s="161" t="n">
        <v>0.17</v>
      </c>
      <c r="BL52" s="161" t="n">
        <v>0.17</v>
      </c>
      <c r="BM52" s="161" t="n">
        <v>0.17</v>
      </c>
      <c r="BN52" s="161" t="n">
        <v>0.17</v>
      </c>
      <c r="BO52" s="161" t="n">
        <v>0.17</v>
      </c>
      <c r="BP52" s="161" t="n">
        <v>0.17</v>
      </c>
      <c r="BQ52" s="161" t="n">
        <v>0.17</v>
      </c>
      <c r="BR52" s="161" t="n">
        <v>0.17</v>
      </c>
      <c r="BS52" s="161" t="n">
        <v>0.17</v>
      </c>
      <c r="BT52" s="161" t="n">
        <v>0.17</v>
      </c>
      <c r="BU52" s="161" t="n">
        <v>0.17</v>
      </c>
      <c r="BV52" s="161" t="n">
        <v>0.17</v>
      </c>
      <c r="BW52" s="161" t="n">
        <v>0.17</v>
      </c>
      <c r="BX52" s="161" t="n">
        <v>0.17</v>
      </c>
      <c r="BY52" s="161" t="n">
        <v>0.17</v>
      </c>
      <c r="BZ52" s="161" t="n">
        <v>0.17</v>
      </c>
      <c r="CA52" s="161" t="n">
        <v>0.17</v>
      </c>
      <c r="CB52" s="161" t="n">
        <v>0.17</v>
      </c>
      <c r="CC52" s="162" t="n">
        <v>0.17</v>
      </c>
      <c r="CD52" s="181" t="n"/>
    </row>
    <row r="53">
      <c r="A53" s="83" t="n"/>
      <c r="B53" s="226" t="inlineStr">
        <is>
          <t>Biomass</t>
        </is>
      </c>
      <c r="C53" s="226" t="inlineStr">
        <is>
          <t>(p/kWh)</t>
        </is>
      </c>
      <c r="D53" s="161" t="n">
        <v>8.74</v>
      </c>
      <c r="E53" s="161" t="n">
        <v>8.74</v>
      </c>
      <c r="F53" s="161" t="n">
        <v>8.74</v>
      </c>
      <c r="G53" s="161" t="n">
        <v>8.74</v>
      </c>
      <c r="H53" s="161" t="n">
        <v>8.74</v>
      </c>
      <c r="I53" s="161" t="n">
        <v>8.74</v>
      </c>
      <c r="J53" s="161" t="n">
        <v>8.74</v>
      </c>
      <c r="K53" s="161" t="n">
        <v>8.74</v>
      </c>
      <c r="L53" s="161" t="n">
        <v>8.74</v>
      </c>
      <c r="M53" s="161" t="n">
        <v>8.74</v>
      </c>
      <c r="N53" s="161" t="n">
        <v>8.74</v>
      </c>
      <c r="O53" s="161" t="n">
        <v>8.74</v>
      </c>
      <c r="P53" s="161" t="n">
        <v>8.74</v>
      </c>
      <c r="Q53" s="161" t="n">
        <v>8.74</v>
      </c>
      <c r="R53" s="161" t="n">
        <v>8.74</v>
      </c>
      <c r="S53" s="161" t="n">
        <v>8.74</v>
      </c>
      <c r="T53" s="161" t="n">
        <v>8.74</v>
      </c>
      <c r="U53" s="161" t="n">
        <v>8.74</v>
      </c>
      <c r="V53" s="161" t="n">
        <v>8.74</v>
      </c>
      <c r="W53" s="161" t="n">
        <v>8.74</v>
      </c>
      <c r="X53" s="161" t="n">
        <v>8.74</v>
      </c>
      <c r="Y53" s="161" t="n">
        <v>8.74</v>
      </c>
      <c r="Z53" s="161" t="n">
        <v>8.74</v>
      </c>
      <c r="AA53" s="161" t="n">
        <v>8.74</v>
      </c>
      <c r="AB53" s="161" t="n">
        <v>8.74</v>
      </c>
      <c r="AC53" s="161" t="n">
        <v>8.74</v>
      </c>
      <c r="AD53" s="161" t="n">
        <v>8.74</v>
      </c>
      <c r="AE53" s="161" t="n">
        <v>8.74</v>
      </c>
      <c r="AF53" s="161" t="n">
        <v>8.74</v>
      </c>
      <c r="AG53" s="161" t="n">
        <v>8.74</v>
      </c>
      <c r="AH53" s="161" t="n">
        <v>8.74</v>
      </c>
      <c r="AI53" s="161" t="n">
        <v>8.74</v>
      </c>
      <c r="AJ53" s="161" t="n">
        <v>8.74</v>
      </c>
      <c r="AK53" s="161" t="n">
        <v>8.74</v>
      </c>
      <c r="AL53" s="161" t="n">
        <v>8.74</v>
      </c>
      <c r="AM53" s="161" t="n">
        <v>8.74</v>
      </c>
      <c r="AN53" s="161" t="n">
        <v>8.74</v>
      </c>
      <c r="AO53" s="161" t="n">
        <v>8.74</v>
      </c>
      <c r="AP53" s="161" t="n">
        <v>8.74</v>
      </c>
      <c r="AQ53" s="161" t="n">
        <v>8.74</v>
      </c>
      <c r="AR53" s="161" t="n">
        <v>8.74</v>
      </c>
      <c r="AS53" s="161" t="n">
        <v>8.74</v>
      </c>
      <c r="AT53" s="161" t="n">
        <v>8.74</v>
      </c>
      <c r="AU53" s="161" t="n">
        <v>8.74</v>
      </c>
      <c r="AV53" s="161" t="n">
        <v>8.74</v>
      </c>
      <c r="AW53" s="161" t="n">
        <v>8.74</v>
      </c>
      <c r="AX53" s="161" t="n">
        <v>8.74</v>
      </c>
      <c r="AY53" s="161" t="n">
        <v>8.74</v>
      </c>
      <c r="AZ53" s="161" t="n">
        <v>8.74</v>
      </c>
      <c r="BA53" s="161" t="n">
        <v>8.74</v>
      </c>
      <c r="BB53" s="161" t="n">
        <v>8.74</v>
      </c>
      <c r="BC53" s="161" t="n">
        <v>8.74</v>
      </c>
      <c r="BD53" s="161" t="n">
        <v>8.74</v>
      </c>
      <c r="BE53" s="161" t="n">
        <v>8.74</v>
      </c>
      <c r="BF53" s="161" t="n">
        <v>8.74</v>
      </c>
      <c r="BG53" s="161" t="n">
        <v>8.74</v>
      </c>
      <c r="BH53" s="161" t="n">
        <v>8.74</v>
      </c>
      <c r="BI53" s="161" t="n">
        <v>8.74</v>
      </c>
      <c r="BJ53" s="161" t="n">
        <v>8.74</v>
      </c>
      <c r="BK53" s="161" t="n">
        <v>8.74</v>
      </c>
      <c r="BL53" s="161" t="n">
        <v>8.74</v>
      </c>
      <c r="BM53" s="161" t="n">
        <v>8.74</v>
      </c>
      <c r="BN53" s="161" t="n">
        <v>8.74</v>
      </c>
      <c r="BO53" s="161" t="n">
        <v>8.74</v>
      </c>
      <c r="BP53" s="161" t="n">
        <v>8.74</v>
      </c>
      <c r="BQ53" s="161" t="n">
        <v>8.74</v>
      </c>
      <c r="BR53" s="161" t="n">
        <v>8.74</v>
      </c>
      <c r="BS53" s="161" t="n">
        <v>8.74</v>
      </c>
      <c r="BT53" s="161" t="n">
        <v>8.74</v>
      </c>
      <c r="BU53" s="161" t="n">
        <v>8.74</v>
      </c>
      <c r="BV53" s="161" t="n">
        <v>8.74</v>
      </c>
      <c r="BW53" s="161" t="n">
        <v>8.74</v>
      </c>
      <c r="BX53" s="161" t="n">
        <v>8.74</v>
      </c>
      <c r="BY53" s="161" t="n">
        <v>8.74</v>
      </c>
      <c r="BZ53" s="161" t="n">
        <v>8.74</v>
      </c>
      <c r="CA53" s="161" t="n">
        <v>8.74</v>
      </c>
      <c r="CB53" s="161" t="n">
        <v>8.74</v>
      </c>
      <c r="CC53" s="162" t="n">
        <v>8.74</v>
      </c>
      <c r="CD53" s="181" t="n"/>
    </row>
    <row r="54">
      <c r="A54" s="83" t="n"/>
      <c r="B54" s="226" t="inlineStr">
        <is>
          <t>LPG</t>
        </is>
      </c>
      <c r="C54" s="226" t="inlineStr">
        <is>
          <t>(p/kWh)</t>
        </is>
      </c>
      <c r="D54" s="170" t="inlineStr">
        <is>
          <t>N/A</t>
        </is>
      </c>
      <c r="E54" s="170" t="inlineStr">
        <is>
          <t>N/A</t>
        </is>
      </c>
      <c r="F54" s="170" t="inlineStr">
        <is>
          <t>N/A</t>
        </is>
      </c>
      <c r="G54" s="170" t="inlineStr">
        <is>
          <t>N/A</t>
        </is>
      </c>
      <c r="H54" s="170" t="inlineStr">
        <is>
          <t>N/A</t>
        </is>
      </c>
      <c r="I54" s="170" t="inlineStr">
        <is>
          <t>N/A</t>
        </is>
      </c>
      <c r="J54" s="170" t="inlineStr">
        <is>
          <t>N/A</t>
        </is>
      </c>
      <c r="K54" s="170" t="inlineStr">
        <is>
          <t>N/A</t>
        </is>
      </c>
      <c r="L54" s="170" t="inlineStr">
        <is>
          <t>N/A</t>
        </is>
      </c>
      <c r="M54" s="170" t="inlineStr">
        <is>
          <t>N/A</t>
        </is>
      </c>
      <c r="N54" s="170" t="inlineStr">
        <is>
          <t>N/A</t>
        </is>
      </c>
      <c r="O54" s="170" t="inlineStr">
        <is>
          <t>N/A</t>
        </is>
      </c>
      <c r="P54" s="170" t="inlineStr">
        <is>
          <t>N/A</t>
        </is>
      </c>
      <c r="Q54" s="170" t="inlineStr">
        <is>
          <t>N/A</t>
        </is>
      </c>
      <c r="R54" s="170" t="inlineStr">
        <is>
          <t>N/A</t>
        </is>
      </c>
      <c r="S54" s="170" t="inlineStr">
        <is>
          <t>N/A</t>
        </is>
      </c>
      <c r="T54" s="170" t="inlineStr">
        <is>
          <t>N/A</t>
        </is>
      </c>
      <c r="U54" s="170" t="inlineStr">
        <is>
          <t>N/A</t>
        </is>
      </c>
      <c r="V54" s="170" t="inlineStr">
        <is>
          <t>N/A</t>
        </is>
      </c>
      <c r="W54" s="170" t="inlineStr">
        <is>
          <t>N/A</t>
        </is>
      </c>
      <c r="X54" s="170" t="inlineStr">
        <is>
          <t>N/A</t>
        </is>
      </c>
      <c r="Y54" s="170" t="inlineStr">
        <is>
          <t>N/A</t>
        </is>
      </c>
      <c r="Z54" s="170" t="inlineStr">
        <is>
          <t>N/A</t>
        </is>
      </c>
      <c r="AA54" s="170" t="inlineStr">
        <is>
          <t>N/A</t>
        </is>
      </c>
      <c r="AB54" s="170" t="inlineStr">
        <is>
          <t>N/A</t>
        </is>
      </c>
      <c r="AC54" s="170" t="inlineStr">
        <is>
          <t>N/A</t>
        </is>
      </c>
      <c r="AD54" s="170" t="inlineStr">
        <is>
          <t>N/A</t>
        </is>
      </c>
      <c r="AE54" s="170" t="inlineStr">
        <is>
          <t>N/A</t>
        </is>
      </c>
      <c r="AF54" s="170" t="inlineStr">
        <is>
          <t>N/A</t>
        </is>
      </c>
      <c r="AG54" s="170" t="inlineStr">
        <is>
          <t>N/A</t>
        </is>
      </c>
      <c r="AH54" s="170" t="inlineStr">
        <is>
          <t>N/A</t>
        </is>
      </c>
      <c r="AI54" s="170" t="inlineStr">
        <is>
          <t>N/A</t>
        </is>
      </c>
      <c r="AJ54" s="170" t="inlineStr">
        <is>
          <t>N/A</t>
        </is>
      </c>
      <c r="AK54" s="170" t="inlineStr">
        <is>
          <t>N/A</t>
        </is>
      </c>
      <c r="AL54" s="170" t="inlineStr">
        <is>
          <t>N/A</t>
        </is>
      </c>
      <c r="AM54" s="170" t="inlineStr">
        <is>
          <t>N/A</t>
        </is>
      </c>
      <c r="AN54" s="170" t="inlineStr">
        <is>
          <t>N/A</t>
        </is>
      </c>
      <c r="AO54" s="170" t="inlineStr">
        <is>
          <t>N/A</t>
        </is>
      </c>
      <c r="AP54" s="170" t="inlineStr">
        <is>
          <t>N/A</t>
        </is>
      </c>
      <c r="AQ54" s="170" t="inlineStr">
        <is>
          <t>N/A</t>
        </is>
      </c>
      <c r="AR54" s="170" t="inlineStr">
        <is>
          <t>N/A</t>
        </is>
      </c>
      <c r="AS54" s="170" t="inlineStr">
        <is>
          <t>N/A</t>
        </is>
      </c>
      <c r="AT54" s="170" t="inlineStr">
        <is>
          <t>N/A</t>
        </is>
      </c>
      <c r="AU54" s="170" t="inlineStr">
        <is>
          <t>N/A</t>
        </is>
      </c>
      <c r="AV54" s="170" t="inlineStr">
        <is>
          <t>N/A</t>
        </is>
      </c>
      <c r="AW54" s="170" t="inlineStr">
        <is>
          <t>N/A</t>
        </is>
      </c>
      <c r="AX54" s="170" t="inlineStr">
        <is>
          <t>N/A</t>
        </is>
      </c>
      <c r="AY54" s="170" t="inlineStr">
        <is>
          <t>N/A</t>
        </is>
      </c>
      <c r="AZ54" s="170" t="inlineStr">
        <is>
          <t>N/A</t>
        </is>
      </c>
      <c r="BA54" s="170" t="inlineStr">
        <is>
          <t>N/A</t>
        </is>
      </c>
      <c r="BB54" s="170" t="inlineStr">
        <is>
          <t>N/A</t>
        </is>
      </c>
      <c r="BC54" s="170" t="inlineStr">
        <is>
          <t>N/A</t>
        </is>
      </c>
      <c r="BD54" s="170" t="inlineStr">
        <is>
          <t>N/A</t>
        </is>
      </c>
      <c r="BE54" s="170" t="inlineStr">
        <is>
          <t>N/A</t>
        </is>
      </c>
      <c r="BF54" s="170" t="inlineStr">
        <is>
          <t>N/A</t>
        </is>
      </c>
      <c r="BG54" s="170" t="inlineStr">
        <is>
          <t>N/A</t>
        </is>
      </c>
      <c r="BH54" s="170" t="inlineStr">
        <is>
          <t>N/A</t>
        </is>
      </c>
      <c r="BI54" s="170" t="inlineStr">
        <is>
          <t>N/A</t>
        </is>
      </c>
      <c r="BJ54" s="170" t="inlineStr">
        <is>
          <t>N/A</t>
        </is>
      </c>
      <c r="BK54" s="170" t="inlineStr">
        <is>
          <t>N/A</t>
        </is>
      </c>
      <c r="BL54" s="170" t="inlineStr">
        <is>
          <t>N/A</t>
        </is>
      </c>
      <c r="BM54" s="170" t="inlineStr">
        <is>
          <t>N/A</t>
        </is>
      </c>
      <c r="BN54" s="170" t="inlineStr">
        <is>
          <t>N/A</t>
        </is>
      </c>
      <c r="BO54" s="170" t="inlineStr">
        <is>
          <t>N/A</t>
        </is>
      </c>
      <c r="BP54" s="170" t="inlineStr">
        <is>
          <t>N/A</t>
        </is>
      </c>
      <c r="BQ54" s="170" t="inlineStr">
        <is>
          <t>N/A</t>
        </is>
      </c>
      <c r="BR54" s="170" t="inlineStr">
        <is>
          <t>N/A</t>
        </is>
      </c>
      <c r="BS54" s="170" t="inlineStr">
        <is>
          <t>N/A</t>
        </is>
      </c>
      <c r="BT54" s="170" t="inlineStr">
        <is>
          <t>N/A</t>
        </is>
      </c>
      <c r="BU54" s="170" t="inlineStr">
        <is>
          <t>N/A</t>
        </is>
      </c>
      <c r="BV54" s="170" t="inlineStr">
        <is>
          <t>N/A</t>
        </is>
      </c>
      <c r="BW54" s="170" t="inlineStr">
        <is>
          <t>N/A</t>
        </is>
      </c>
      <c r="BX54" s="170" t="inlineStr">
        <is>
          <t>N/A</t>
        </is>
      </c>
      <c r="BY54" s="170" t="inlineStr">
        <is>
          <t>N/A</t>
        </is>
      </c>
      <c r="BZ54" s="170" t="inlineStr">
        <is>
          <t>N/A</t>
        </is>
      </c>
      <c r="CA54" s="170" t="inlineStr">
        <is>
          <t>N/A</t>
        </is>
      </c>
      <c r="CB54" s="170" t="inlineStr">
        <is>
          <t>N/A</t>
        </is>
      </c>
      <c r="CC54" s="233" t="inlineStr">
        <is>
          <t>N/A</t>
        </is>
      </c>
      <c r="CD54" s="181" t="n"/>
    </row>
    <row r="55">
      <c r="A55" s="83" t="n"/>
      <c r="B55" s="226" t="inlineStr">
        <is>
          <t>Peat</t>
        </is>
      </c>
      <c r="C55" s="226" t="inlineStr">
        <is>
          <t>(p/kWh)</t>
        </is>
      </c>
      <c r="D55" s="170" t="inlineStr">
        <is>
          <t>N/A</t>
        </is>
      </c>
      <c r="E55" s="170" t="inlineStr">
        <is>
          <t>N/A</t>
        </is>
      </c>
      <c r="F55" s="170" t="inlineStr">
        <is>
          <t>N/A</t>
        </is>
      </c>
      <c r="G55" s="170" t="inlineStr">
        <is>
          <t>N/A</t>
        </is>
      </c>
      <c r="H55" s="170" t="inlineStr">
        <is>
          <t>N/A</t>
        </is>
      </c>
      <c r="I55" s="170" t="inlineStr">
        <is>
          <t>N/A</t>
        </is>
      </c>
      <c r="J55" s="170" t="inlineStr">
        <is>
          <t>N/A</t>
        </is>
      </c>
      <c r="K55" s="170" t="inlineStr">
        <is>
          <t>N/A</t>
        </is>
      </c>
      <c r="L55" s="170" t="inlineStr">
        <is>
          <t>N/A</t>
        </is>
      </c>
      <c r="M55" s="170" t="inlineStr">
        <is>
          <t>N/A</t>
        </is>
      </c>
      <c r="N55" s="170" t="inlineStr">
        <is>
          <t>N/A</t>
        </is>
      </c>
      <c r="O55" s="170" t="inlineStr">
        <is>
          <t>N/A</t>
        </is>
      </c>
      <c r="P55" s="170" t="inlineStr">
        <is>
          <t>N/A</t>
        </is>
      </c>
      <c r="Q55" s="170" t="inlineStr">
        <is>
          <t>N/A</t>
        </is>
      </c>
      <c r="R55" s="170" t="inlineStr">
        <is>
          <t>N/A</t>
        </is>
      </c>
      <c r="S55" s="170" t="inlineStr">
        <is>
          <t>N/A</t>
        </is>
      </c>
      <c r="T55" s="170" t="inlineStr">
        <is>
          <t>N/A</t>
        </is>
      </c>
      <c r="U55" s="170" t="inlineStr">
        <is>
          <t>N/A</t>
        </is>
      </c>
      <c r="V55" s="170" t="inlineStr">
        <is>
          <t>N/A</t>
        </is>
      </c>
      <c r="W55" s="170" t="inlineStr">
        <is>
          <t>N/A</t>
        </is>
      </c>
      <c r="X55" s="170" t="inlineStr">
        <is>
          <t>N/A</t>
        </is>
      </c>
      <c r="Y55" s="170" t="inlineStr">
        <is>
          <t>N/A</t>
        </is>
      </c>
      <c r="Z55" s="170" t="inlineStr">
        <is>
          <t>N/A</t>
        </is>
      </c>
      <c r="AA55" s="170" t="inlineStr">
        <is>
          <t>N/A</t>
        </is>
      </c>
      <c r="AB55" s="170" t="inlineStr">
        <is>
          <t>N/A</t>
        </is>
      </c>
      <c r="AC55" s="170" t="inlineStr">
        <is>
          <t>N/A</t>
        </is>
      </c>
      <c r="AD55" s="170" t="inlineStr">
        <is>
          <t>N/A</t>
        </is>
      </c>
      <c r="AE55" s="170" t="inlineStr">
        <is>
          <t>N/A</t>
        </is>
      </c>
      <c r="AF55" s="170" t="inlineStr">
        <is>
          <t>N/A</t>
        </is>
      </c>
      <c r="AG55" s="170" t="inlineStr">
        <is>
          <t>N/A</t>
        </is>
      </c>
      <c r="AH55" s="170" t="inlineStr">
        <is>
          <t>N/A</t>
        </is>
      </c>
      <c r="AI55" s="170" t="inlineStr">
        <is>
          <t>N/A</t>
        </is>
      </c>
      <c r="AJ55" s="170" t="inlineStr">
        <is>
          <t>N/A</t>
        </is>
      </c>
      <c r="AK55" s="170" t="inlineStr">
        <is>
          <t>N/A</t>
        </is>
      </c>
      <c r="AL55" s="170" t="inlineStr">
        <is>
          <t>N/A</t>
        </is>
      </c>
      <c r="AM55" s="170" t="inlineStr">
        <is>
          <t>N/A</t>
        </is>
      </c>
      <c r="AN55" s="170" t="inlineStr">
        <is>
          <t>N/A</t>
        </is>
      </c>
      <c r="AO55" s="170" t="inlineStr">
        <is>
          <t>N/A</t>
        </is>
      </c>
      <c r="AP55" s="170" t="inlineStr">
        <is>
          <t>N/A</t>
        </is>
      </c>
      <c r="AQ55" s="170" t="inlineStr">
        <is>
          <t>N/A</t>
        </is>
      </c>
      <c r="AR55" s="170" t="inlineStr">
        <is>
          <t>N/A</t>
        </is>
      </c>
      <c r="AS55" s="170" t="inlineStr">
        <is>
          <t>N/A</t>
        </is>
      </c>
      <c r="AT55" s="170" t="inlineStr">
        <is>
          <t>N/A</t>
        </is>
      </c>
      <c r="AU55" s="170" t="inlineStr">
        <is>
          <t>N/A</t>
        </is>
      </c>
      <c r="AV55" s="170" t="inlineStr">
        <is>
          <t>N/A</t>
        </is>
      </c>
      <c r="AW55" s="170" t="inlineStr">
        <is>
          <t>N/A</t>
        </is>
      </c>
      <c r="AX55" s="170" t="inlineStr">
        <is>
          <t>N/A</t>
        </is>
      </c>
      <c r="AY55" s="170" t="inlineStr">
        <is>
          <t>N/A</t>
        </is>
      </c>
      <c r="AZ55" s="170" t="inlineStr">
        <is>
          <t>N/A</t>
        </is>
      </c>
      <c r="BA55" s="170" t="inlineStr">
        <is>
          <t>N/A</t>
        </is>
      </c>
      <c r="BB55" s="170" t="inlineStr">
        <is>
          <t>N/A</t>
        </is>
      </c>
      <c r="BC55" s="170" t="inlineStr">
        <is>
          <t>N/A</t>
        </is>
      </c>
      <c r="BD55" s="170" t="inlineStr">
        <is>
          <t>N/A</t>
        </is>
      </c>
      <c r="BE55" s="170" t="inlineStr">
        <is>
          <t>N/A</t>
        </is>
      </c>
      <c r="BF55" s="170" t="inlineStr">
        <is>
          <t>N/A</t>
        </is>
      </c>
      <c r="BG55" s="170" t="inlineStr">
        <is>
          <t>N/A</t>
        </is>
      </c>
      <c r="BH55" s="170" t="inlineStr">
        <is>
          <t>N/A</t>
        </is>
      </c>
      <c r="BI55" s="170" t="inlineStr">
        <is>
          <t>N/A</t>
        </is>
      </c>
      <c r="BJ55" s="170" t="inlineStr">
        <is>
          <t>N/A</t>
        </is>
      </c>
      <c r="BK55" s="170" t="inlineStr">
        <is>
          <t>N/A</t>
        </is>
      </c>
      <c r="BL55" s="170" t="inlineStr">
        <is>
          <t>N/A</t>
        </is>
      </c>
      <c r="BM55" s="170" t="inlineStr">
        <is>
          <t>N/A</t>
        </is>
      </c>
      <c r="BN55" s="170" t="inlineStr">
        <is>
          <t>N/A</t>
        </is>
      </c>
      <c r="BO55" s="170" t="inlineStr">
        <is>
          <t>N/A</t>
        </is>
      </c>
      <c r="BP55" s="170" t="inlineStr">
        <is>
          <t>N/A</t>
        </is>
      </c>
      <c r="BQ55" s="170" t="inlineStr">
        <is>
          <t>N/A</t>
        </is>
      </c>
      <c r="BR55" s="170" t="inlineStr">
        <is>
          <t>N/A</t>
        </is>
      </c>
      <c r="BS55" s="170" t="inlineStr">
        <is>
          <t>N/A</t>
        </is>
      </c>
      <c r="BT55" s="170" t="inlineStr">
        <is>
          <t>N/A</t>
        </is>
      </c>
      <c r="BU55" s="170" t="inlineStr">
        <is>
          <t>N/A</t>
        </is>
      </c>
      <c r="BV55" s="170" t="inlineStr">
        <is>
          <t>N/A</t>
        </is>
      </c>
      <c r="BW55" s="170" t="inlineStr">
        <is>
          <t>N/A</t>
        </is>
      </c>
      <c r="BX55" s="170" t="inlineStr">
        <is>
          <t>N/A</t>
        </is>
      </c>
      <c r="BY55" s="170" t="inlineStr">
        <is>
          <t>N/A</t>
        </is>
      </c>
      <c r="BZ55" s="170" t="inlineStr">
        <is>
          <t>N/A</t>
        </is>
      </c>
      <c r="CA55" s="170" t="inlineStr">
        <is>
          <t>N/A</t>
        </is>
      </c>
      <c r="CB55" s="170" t="inlineStr">
        <is>
          <t>N/A</t>
        </is>
      </c>
      <c r="CC55" s="233" t="inlineStr">
        <is>
          <t>N/A</t>
        </is>
      </c>
      <c r="CD55" s="181" t="n"/>
    </row>
    <row r="56">
      <c r="A56" s="83" t="n"/>
      <c r="B56" s="226" t="inlineStr">
        <is>
          <t>Petroleum coke</t>
        </is>
      </c>
      <c r="C56" s="226" t="inlineStr">
        <is>
          <t>(p/kWh)</t>
        </is>
      </c>
      <c r="D56" s="165" t="n">
        <v>26.41</v>
      </c>
      <c r="E56" s="165" t="n">
        <v>26.41</v>
      </c>
      <c r="F56" s="165" t="n">
        <v>26.41</v>
      </c>
      <c r="G56" s="165" t="n">
        <v>26.41</v>
      </c>
      <c r="H56" s="165" t="n">
        <v>26.41</v>
      </c>
      <c r="I56" s="165" t="n">
        <v>26.41</v>
      </c>
      <c r="J56" s="165" t="n">
        <v>26.41</v>
      </c>
      <c r="K56" s="165" t="n">
        <v>26.41</v>
      </c>
      <c r="L56" s="165" t="n">
        <v>26.41</v>
      </c>
      <c r="M56" s="165" t="n">
        <v>26.41</v>
      </c>
      <c r="N56" s="165" t="n">
        <v>26.41</v>
      </c>
      <c r="O56" s="165" t="n">
        <v>26.41</v>
      </c>
      <c r="P56" s="165" t="n">
        <v>26.41</v>
      </c>
      <c r="Q56" s="165" t="n">
        <v>26.41</v>
      </c>
      <c r="R56" s="165" t="n">
        <v>26.41</v>
      </c>
      <c r="S56" s="165" t="n">
        <v>26.41</v>
      </c>
      <c r="T56" s="165" t="n">
        <v>26.41</v>
      </c>
      <c r="U56" s="165" t="n">
        <v>26.41</v>
      </c>
      <c r="V56" s="165" t="n">
        <v>26.41</v>
      </c>
      <c r="W56" s="165" t="n">
        <v>26.41</v>
      </c>
      <c r="X56" s="165" t="n">
        <v>26.41</v>
      </c>
      <c r="Y56" s="165" t="n">
        <v>26.41</v>
      </c>
      <c r="Z56" s="165" t="n">
        <v>26.41</v>
      </c>
      <c r="AA56" s="165" t="n">
        <v>26.41</v>
      </c>
      <c r="AB56" s="165" t="n">
        <v>26.41</v>
      </c>
      <c r="AC56" s="165" t="n">
        <v>26.41</v>
      </c>
      <c r="AD56" s="165" t="n">
        <v>26.41</v>
      </c>
      <c r="AE56" s="165" t="n">
        <v>26.41</v>
      </c>
      <c r="AF56" s="165" t="n">
        <v>26.41</v>
      </c>
      <c r="AG56" s="165" t="n">
        <v>26.41</v>
      </c>
      <c r="AH56" s="165" t="n">
        <v>26.41</v>
      </c>
      <c r="AI56" s="165" t="n">
        <v>26.41</v>
      </c>
      <c r="AJ56" s="165" t="n">
        <v>26.41</v>
      </c>
      <c r="AK56" s="165" t="n">
        <v>26.41</v>
      </c>
      <c r="AL56" s="165" t="n">
        <v>26.41</v>
      </c>
      <c r="AM56" s="165" t="n">
        <v>26.41</v>
      </c>
      <c r="AN56" s="165" t="n">
        <v>26.41</v>
      </c>
      <c r="AO56" s="165" t="n">
        <v>26.41</v>
      </c>
      <c r="AP56" s="165" t="n">
        <v>26.41</v>
      </c>
      <c r="AQ56" s="165" t="n">
        <v>26.41</v>
      </c>
      <c r="AR56" s="165" t="n">
        <v>26.41</v>
      </c>
      <c r="AS56" s="165" t="n">
        <v>26.41</v>
      </c>
      <c r="AT56" s="165" t="n">
        <v>26.41</v>
      </c>
      <c r="AU56" s="165" t="n">
        <v>26.41</v>
      </c>
      <c r="AV56" s="165" t="n">
        <v>26.41</v>
      </c>
      <c r="AW56" s="165" t="n">
        <v>26.41</v>
      </c>
      <c r="AX56" s="165" t="n">
        <v>26.41</v>
      </c>
      <c r="AY56" s="165" t="n">
        <v>26.41</v>
      </c>
      <c r="AZ56" s="165" t="n">
        <v>26.41</v>
      </c>
      <c r="BA56" s="165" t="n">
        <v>26.41</v>
      </c>
      <c r="BB56" s="165" t="n">
        <v>26.41</v>
      </c>
      <c r="BC56" s="165" t="n">
        <v>26.41</v>
      </c>
      <c r="BD56" s="165" t="n">
        <v>26.41</v>
      </c>
      <c r="BE56" s="165" t="n">
        <v>26.41</v>
      </c>
      <c r="BF56" s="165" t="n">
        <v>26.41</v>
      </c>
      <c r="BG56" s="165" t="n">
        <v>26.41</v>
      </c>
      <c r="BH56" s="165" t="n">
        <v>26.41</v>
      </c>
      <c r="BI56" s="165" t="n">
        <v>26.41</v>
      </c>
      <c r="BJ56" s="165" t="n">
        <v>26.41</v>
      </c>
      <c r="BK56" s="165" t="n">
        <v>26.41</v>
      </c>
      <c r="BL56" s="165" t="n">
        <v>26.41</v>
      </c>
      <c r="BM56" s="165" t="n">
        <v>26.41</v>
      </c>
      <c r="BN56" s="165" t="n">
        <v>26.41</v>
      </c>
      <c r="BO56" s="165" t="n">
        <v>26.41</v>
      </c>
      <c r="BP56" s="165" t="n">
        <v>26.41</v>
      </c>
      <c r="BQ56" s="165" t="n">
        <v>26.41</v>
      </c>
      <c r="BR56" s="165" t="n">
        <v>26.41</v>
      </c>
      <c r="BS56" s="165" t="n">
        <v>26.41</v>
      </c>
      <c r="BT56" s="165" t="n">
        <v>26.41</v>
      </c>
      <c r="BU56" s="165" t="n">
        <v>26.41</v>
      </c>
      <c r="BV56" s="165" t="n">
        <v>26.41</v>
      </c>
      <c r="BW56" s="165" t="n">
        <v>26.41</v>
      </c>
      <c r="BX56" s="165" t="n">
        <v>26.41</v>
      </c>
      <c r="BY56" s="165" t="n">
        <v>26.41</v>
      </c>
      <c r="BZ56" s="165" t="n">
        <v>26.41</v>
      </c>
      <c r="CA56" s="165" t="n">
        <v>26.41</v>
      </c>
      <c r="CB56" s="165" t="n">
        <v>26.41</v>
      </c>
      <c r="CC56" s="166" t="n">
        <v>26.41</v>
      </c>
      <c r="CD56" s="181" t="n"/>
    </row>
    <row r="57">
      <c r="A57" s="83" t="n"/>
      <c r="B57" s="169" t="n"/>
      <c r="C57" s="169" t="n"/>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31" t="n"/>
      <c r="AJ57" s="231" t="n"/>
      <c r="AK57" s="231" t="n"/>
      <c r="AL57" s="231" t="n"/>
      <c r="AM57" s="231" t="n"/>
      <c r="AN57" s="231" t="n"/>
      <c r="AO57" s="231" t="n"/>
      <c r="AP57" s="231" t="n"/>
      <c r="AQ57" s="231" t="n"/>
      <c r="AR57" s="231" t="n"/>
      <c r="AS57" s="231" t="n"/>
      <c r="AT57" s="231" t="n"/>
      <c r="AU57" s="231" t="n"/>
      <c r="AV57" s="231" t="n"/>
      <c r="AW57" s="231" t="n"/>
      <c r="AX57" s="231" t="n"/>
      <c r="AY57" s="231" t="n"/>
      <c r="AZ57" s="231" t="n"/>
      <c r="BA57" s="231" t="n"/>
      <c r="BB57" s="231" t="n"/>
      <c r="BC57" s="231" t="n"/>
      <c r="BD57" s="231" t="n"/>
      <c r="BE57" s="231" t="n"/>
      <c r="BF57" s="231" t="n"/>
      <c r="BG57" s="231" t="n"/>
      <c r="BH57" s="231" t="n"/>
      <c r="BI57" s="231" t="n"/>
      <c r="BJ57" s="231" t="n"/>
      <c r="BK57" s="231" t="n"/>
      <c r="BL57" s="231" t="n"/>
      <c r="BM57" s="231" t="n"/>
      <c r="BN57" s="231" t="n"/>
      <c r="BO57" s="231" t="n"/>
      <c r="BP57" s="231" t="n"/>
      <c r="BQ57" s="231" t="n"/>
      <c r="BR57" s="231" t="n"/>
      <c r="BS57" s="231" t="n"/>
      <c r="BT57" s="231" t="n"/>
      <c r="BU57" s="231" t="n"/>
      <c r="BV57" s="231" t="n"/>
      <c r="BW57" s="231" t="n"/>
      <c r="BX57" s="231" t="n"/>
      <c r="BY57" s="231" t="n"/>
      <c r="BZ57" s="231" t="n"/>
      <c r="CA57" s="231" t="n"/>
      <c r="CB57" s="231" t="n"/>
      <c r="CC57" s="231" t="n"/>
      <c r="CD57" s="169" t="n"/>
    </row>
    <row r="58">
      <c r="A58" s="83" t="n"/>
      <c r="B58" s="234" t="inlineStr">
        <is>
          <t>DOMESTIC: Rural</t>
        </is>
      </c>
      <c r="C58" s="225" t="n"/>
      <c r="D58" s="167" t="n"/>
      <c r="E58" s="167" t="n"/>
      <c r="F58" s="167" t="n"/>
      <c r="G58" s="167" t="n"/>
      <c r="H58" s="167" t="n"/>
      <c r="I58" s="167" t="n"/>
      <c r="J58" s="167" t="n"/>
      <c r="K58" s="167" t="n"/>
      <c r="L58" s="167" t="n"/>
      <c r="M58" s="167" t="n"/>
      <c r="N58" s="167" t="n"/>
      <c r="O58" s="167" t="n"/>
      <c r="P58" s="167" t="n"/>
      <c r="Q58" s="167" t="n"/>
      <c r="R58" s="167" t="n"/>
      <c r="S58" s="167" t="n"/>
      <c r="T58" s="167" t="n"/>
      <c r="U58" s="167" t="n"/>
      <c r="V58" s="167" t="n"/>
      <c r="W58" s="167" t="n"/>
      <c r="X58" s="167" t="n"/>
      <c r="Y58" s="167" t="n"/>
      <c r="Z58" s="167" t="n"/>
      <c r="AA58" s="167" t="n"/>
      <c r="AB58" s="167" t="n"/>
      <c r="AC58" s="167" t="n"/>
      <c r="AD58" s="167" t="n"/>
      <c r="AE58" s="167" t="n"/>
      <c r="AF58" s="167" t="n"/>
      <c r="AG58" s="167" t="n"/>
      <c r="AH58" s="167" t="n"/>
      <c r="AI58" s="167" t="n"/>
      <c r="AJ58" s="167" t="n"/>
      <c r="AK58" s="167" t="n"/>
      <c r="AL58" s="167" t="n"/>
      <c r="AM58" s="167" t="n"/>
      <c r="AN58" s="167" t="n"/>
      <c r="AO58" s="167" t="n"/>
      <c r="AP58" s="167" t="n"/>
      <c r="AQ58" s="167" t="n"/>
      <c r="AR58" s="167" t="n"/>
      <c r="AS58" s="167" t="n"/>
      <c r="AT58" s="167" t="n"/>
      <c r="AU58" s="167" t="n"/>
      <c r="AV58" s="167" t="n"/>
      <c r="AW58" s="167" t="n"/>
      <c r="AX58" s="167" t="n"/>
      <c r="AY58" s="167" t="n"/>
      <c r="AZ58" s="167" t="n"/>
      <c r="BA58" s="167" t="n"/>
      <c r="BB58" s="167" t="n"/>
      <c r="BC58" s="167" t="n"/>
      <c r="BD58" s="167" t="n"/>
      <c r="BE58" s="167" t="n"/>
      <c r="BF58" s="167" t="n"/>
      <c r="BG58" s="167" t="n"/>
      <c r="BH58" s="167" t="n"/>
      <c r="BI58" s="167" t="n"/>
      <c r="BJ58" s="167" t="n"/>
      <c r="BK58" s="167" t="n"/>
      <c r="BL58" s="167" t="n"/>
      <c r="BM58" s="167" t="n"/>
      <c r="BN58" s="167" t="n"/>
      <c r="BO58" s="167" t="n"/>
      <c r="BP58" s="167" t="n"/>
      <c r="BQ58" s="167" t="n"/>
      <c r="BR58" s="167" t="n"/>
      <c r="BS58" s="167" t="n"/>
      <c r="BT58" s="167" t="n"/>
      <c r="BU58" s="167" t="n"/>
      <c r="BV58" s="167" t="n"/>
      <c r="BW58" s="167" t="n"/>
      <c r="BX58" s="167" t="n"/>
      <c r="BY58" s="167" t="n"/>
      <c r="BZ58" s="167" t="n"/>
      <c r="CA58" s="167" t="n"/>
      <c r="CB58" s="167" t="n"/>
      <c r="CC58" s="232" t="n"/>
      <c r="CD58" s="181" t="n"/>
    </row>
    <row r="59">
      <c r="A59" s="83" t="n"/>
      <c r="B59" s="226" t="inlineStr">
        <is>
          <t>Gas</t>
        </is>
      </c>
      <c r="C59" s="226" t="inlineStr">
        <is>
          <t>p/kWh</t>
        </is>
      </c>
      <c r="D59" s="235" t="n">
        <v>0.06</v>
      </c>
      <c r="E59" s="235" t="n">
        <v>0.06</v>
      </c>
      <c r="F59" s="235" t="n">
        <v>0.06</v>
      </c>
      <c r="G59" s="235" t="n">
        <v>0.06</v>
      </c>
      <c r="H59" s="235" t="n">
        <v>0.06</v>
      </c>
      <c r="I59" s="235" t="n">
        <v>0.06</v>
      </c>
      <c r="J59" s="235" t="n">
        <v>0.06</v>
      </c>
      <c r="K59" s="235" t="n">
        <v>0.06</v>
      </c>
      <c r="L59" s="235" t="n">
        <v>0.06</v>
      </c>
      <c r="M59" s="235" t="n">
        <v>0.06</v>
      </c>
      <c r="N59" s="235" t="n">
        <v>0.06</v>
      </c>
      <c r="O59" s="235" t="n">
        <v>0.06</v>
      </c>
      <c r="P59" s="235" t="n">
        <v>0.06</v>
      </c>
      <c r="Q59" s="235" t="n">
        <v>0.06</v>
      </c>
      <c r="R59" s="235" t="n">
        <v>0.06</v>
      </c>
      <c r="S59" s="235" t="n">
        <v>0.06</v>
      </c>
      <c r="T59" s="235" t="n">
        <v>0.06</v>
      </c>
      <c r="U59" s="235" t="n">
        <v>0.06</v>
      </c>
      <c r="V59" s="235" t="n">
        <v>0.06</v>
      </c>
      <c r="W59" s="235" t="n">
        <v>0.06</v>
      </c>
      <c r="X59" s="235" t="n">
        <v>0.06</v>
      </c>
      <c r="Y59" s="235" t="n">
        <v>0.06</v>
      </c>
      <c r="Z59" s="235" t="n">
        <v>0.06</v>
      </c>
      <c r="AA59" s="235" t="n">
        <v>0.06</v>
      </c>
      <c r="AB59" s="235" t="n">
        <v>0.06</v>
      </c>
      <c r="AC59" s="235" t="n">
        <v>0.06</v>
      </c>
      <c r="AD59" s="235" t="n">
        <v>0.06</v>
      </c>
      <c r="AE59" s="235" t="n">
        <v>0.06</v>
      </c>
      <c r="AF59" s="235" t="n">
        <v>0.06</v>
      </c>
      <c r="AG59" s="235" t="n">
        <v>0.06</v>
      </c>
      <c r="AH59" s="235" t="n">
        <v>0.06</v>
      </c>
      <c r="AI59" s="235" t="n">
        <v>0.06</v>
      </c>
      <c r="AJ59" s="235" t="n">
        <v>0.06</v>
      </c>
      <c r="AK59" s="235" t="n">
        <v>0.06</v>
      </c>
      <c r="AL59" s="235" t="n">
        <v>0.06</v>
      </c>
      <c r="AM59" s="235" t="n">
        <v>0.06</v>
      </c>
      <c r="AN59" s="235" t="n">
        <v>0.06</v>
      </c>
      <c r="AO59" s="235" t="n">
        <v>0.06</v>
      </c>
      <c r="AP59" s="235" t="n">
        <v>0.06</v>
      </c>
      <c r="AQ59" s="235" t="n">
        <v>0.06</v>
      </c>
      <c r="AR59" s="235" t="n">
        <v>0.06</v>
      </c>
      <c r="AS59" s="235" t="n">
        <v>0.06</v>
      </c>
      <c r="AT59" s="235" t="n">
        <v>0.06</v>
      </c>
      <c r="AU59" s="235" t="n">
        <v>0.06</v>
      </c>
      <c r="AV59" s="235" t="n">
        <v>0.06</v>
      </c>
      <c r="AW59" s="235" t="n">
        <v>0.06</v>
      </c>
      <c r="AX59" s="235" t="n">
        <v>0.06</v>
      </c>
      <c r="AY59" s="235" t="n">
        <v>0.06</v>
      </c>
      <c r="AZ59" s="235" t="n">
        <v>0.06</v>
      </c>
      <c r="BA59" s="235" t="n">
        <v>0.06</v>
      </c>
      <c r="BB59" s="235" t="n">
        <v>0.06</v>
      </c>
      <c r="BC59" s="235" t="n">
        <v>0.06</v>
      </c>
      <c r="BD59" s="235" t="n">
        <v>0.06</v>
      </c>
      <c r="BE59" s="235" t="n">
        <v>0.06</v>
      </c>
      <c r="BF59" s="235" t="n">
        <v>0.06</v>
      </c>
      <c r="BG59" s="235" t="n">
        <v>0.06</v>
      </c>
      <c r="BH59" s="235" t="n">
        <v>0.06</v>
      </c>
      <c r="BI59" s="235" t="n">
        <v>0.06</v>
      </c>
      <c r="BJ59" s="235" t="n">
        <v>0.06</v>
      </c>
      <c r="BK59" s="235" t="n">
        <v>0.06</v>
      </c>
      <c r="BL59" s="235" t="n">
        <v>0.06</v>
      </c>
      <c r="BM59" s="235" t="n">
        <v>0.06</v>
      </c>
      <c r="BN59" s="235" t="n">
        <v>0.06</v>
      </c>
      <c r="BO59" s="235" t="n">
        <v>0.06</v>
      </c>
      <c r="BP59" s="235" t="n">
        <v>0.06</v>
      </c>
      <c r="BQ59" s="235" t="n">
        <v>0.06</v>
      </c>
      <c r="BR59" s="235" t="n">
        <v>0.06</v>
      </c>
      <c r="BS59" s="235" t="n">
        <v>0.06</v>
      </c>
      <c r="BT59" s="235" t="n">
        <v>0.06</v>
      </c>
      <c r="BU59" s="235" t="n">
        <v>0.06</v>
      </c>
      <c r="BV59" s="235" t="n">
        <v>0.06</v>
      </c>
      <c r="BW59" s="235" t="n">
        <v>0.06</v>
      </c>
      <c r="BX59" s="235" t="n">
        <v>0.06</v>
      </c>
      <c r="BY59" s="235" t="n">
        <v>0.06</v>
      </c>
      <c r="BZ59" s="235" t="n">
        <v>0.06</v>
      </c>
      <c r="CA59" s="235" t="n">
        <v>0.06</v>
      </c>
      <c r="CB59" s="235" t="n">
        <v>0.06</v>
      </c>
      <c r="CC59" s="236" t="n">
        <v>0.06</v>
      </c>
      <c r="CD59" s="181" t="n"/>
    </row>
    <row r="60">
      <c r="A60" s="83" t="n"/>
      <c r="B60" s="226" t="inlineStr">
        <is>
          <t>Coal</t>
        </is>
      </c>
      <c r="C60" s="226" t="inlineStr">
        <is>
          <t>p/kWh</t>
        </is>
      </c>
      <c r="D60" s="235" t="n">
        <v>5.33</v>
      </c>
      <c r="E60" s="235" t="n">
        <v>5.33</v>
      </c>
      <c r="F60" s="235" t="n">
        <v>5.33</v>
      </c>
      <c r="G60" s="235" t="n">
        <v>5.33</v>
      </c>
      <c r="H60" s="235" t="n">
        <v>5.33</v>
      </c>
      <c r="I60" s="235" t="n">
        <v>5.33</v>
      </c>
      <c r="J60" s="235" t="n">
        <v>5.33</v>
      </c>
      <c r="K60" s="235" t="n">
        <v>5.33</v>
      </c>
      <c r="L60" s="235" t="n">
        <v>5.33</v>
      </c>
      <c r="M60" s="235" t="n">
        <v>5.33</v>
      </c>
      <c r="N60" s="235" t="n">
        <v>5.33</v>
      </c>
      <c r="O60" s="235" t="n">
        <v>5.33</v>
      </c>
      <c r="P60" s="235" t="n">
        <v>5.33</v>
      </c>
      <c r="Q60" s="235" t="n">
        <v>5.33</v>
      </c>
      <c r="R60" s="235" t="n">
        <v>5.33</v>
      </c>
      <c r="S60" s="235" t="n">
        <v>5.33</v>
      </c>
      <c r="T60" s="235" t="n">
        <v>5.33</v>
      </c>
      <c r="U60" s="235" t="n">
        <v>5.33</v>
      </c>
      <c r="V60" s="235" t="n">
        <v>5.33</v>
      </c>
      <c r="W60" s="235" t="n">
        <v>5.33</v>
      </c>
      <c r="X60" s="235" t="n">
        <v>5.33</v>
      </c>
      <c r="Y60" s="235" t="n">
        <v>5.33</v>
      </c>
      <c r="Z60" s="235" t="n">
        <v>5.33</v>
      </c>
      <c r="AA60" s="235" t="n">
        <v>5.33</v>
      </c>
      <c r="AB60" s="235" t="n">
        <v>5.33</v>
      </c>
      <c r="AC60" s="235" t="n">
        <v>5.33</v>
      </c>
      <c r="AD60" s="235" t="n">
        <v>5.33</v>
      </c>
      <c r="AE60" s="235" t="n">
        <v>5.33</v>
      </c>
      <c r="AF60" s="235" t="n">
        <v>5.33</v>
      </c>
      <c r="AG60" s="235" t="n">
        <v>5.33</v>
      </c>
      <c r="AH60" s="235" t="n">
        <v>5.33</v>
      </c>
      <c r="AI60" s="235" t="n">
        <v>5.33</v>
      </c>
      <c r="AJ60" s="235" t="n">
        <v>5.33</v>
      </c>
      <c r="AK60" s="235" t="n">
        <v>5.33</v>
      </c>
      <c r="AL60" s="235" t="n">
        <v>5.33</v>
      </c>
      <c r="AM60" s="235" t="n">
        <v>5.33</v>
      </c>
      <c r="AN60" s="235" t="n">
        <v>5.33</v>
      </c>
      <c r="AO60" s="235" t="n">
        <v>5.33</v>
      </c>
      <c r="AP60" s="235" t="n">
        <v>5.33</v>
      </c>
      <c r="AQ60" s="235" t="n">
        <v>5.33</v>
      </c>
      <c r="AR60" s="235" t="n">
        <v>5.33</v>
      </c>
      <c r="AS60" s="235" t="n">
        <v>5.33</v>
      </c>
      <c r="AT60" s="235" t="n">
        <v>5.33</v>
      </c>
      <c r="AU60" s="235" t="n">
        <v>5.33</v>
      </c>
      <c r="AV60" s="235" t="n">
        <v>5.33</v>
      </c>
      <c r="AW60" s="235" t="n">
        <v>5.33</v>
      </c>
      <c r="AX60" s="235" t="n">
        <v>5.33</v>
      </c>
      <c r="AY60" s="235" t="n">
        <v>5.33</v>
      </c>
      <c r="AZ60" s="235" t="n">
        <v>5.33</v>
      </c>
      <c r="BA60" s="235" t="n">
        <v>5.33</v>
      </c>
      <c r="BB60" s="235" t="n">
        <v>5.33</v>
      </c>
      <c r="BC60" s="235" t="n">
        <v>5.33</v>
      </c>
      <c r="BD60" s="235" t="n">
        <v>5.33</v>
      </c>
      <c r="BE60" s="235" t="n">
        <v>5.33</v>
      </c>
      <c r="BF60" s="235" t="n">
        <v>5.33</v>
      </c>
      <c r="BG60" s="235" t="n">
        <v>5.33</v>
      </c>
      <c r="BH60" s="235" t="n">
        <v>5.33</v>
      </c>
      <c r="BI60" s="235" t="n">
        <v>5.33</v>
      </c>
      <c r="BJ60" s="235" t="n">
        <v>5.33</v>
      </c>
      <c r="BK60" s="235" t="n">
        <v>5.33</v>
      </c>
      <c r="BL60" s="235" t="n">
        <v>5.33</v>
      </c>
      <c r="BM60" s="235" t="n">
        <v>5.33</v>
      </c>
      <c r="BN60" s="235" t="n">
        <v>5.33</v>
      </c>
      <c r="BO60" s="235" t="n">
        <v>5.33</v>
      </c>
      <c r="BP60" s="235" t="n">
        <v>5.33</v>
      </c>
      <c r="BQ60" s="235" t="n">
        <v>5.33</v>
      </c>
      <c r="BR60" s="235" t="n">
        <v>5.33</v>
      </c>
      <c r="BS60" s="235" t="n">
        <v>5.33</v>
      </c>
      <c r="BT60" s="235" t="n">
        <v>5.33</v>
      </c>
      <c r="BU60" s="235" t="n">
        <v>5.33</v>
      </c>
      <c r="BV60" s="235" t="n">
        <v>5.33</v>
      </c>
      <c r="BW60" s="235" t="n">
        <v>5.33</v>
      </c>
      <c r="BX60" s="235" t="n">
        <v>5.33</v>
      </c>
      <c r="BY60" s="235" t="n">
        <v>5.33</v>
      </c>
      <c r="BZ60" s="235" t="n">
        <v>5.33</v>
      </c>
      <c r="CA60" s="235" t="n">
        <v>5.33</v>
      </c>
      <c r="CB60" s="235" t="n">
        <v>5.33</v>
      </c>
      <c r="CC60" s="236" t="n">
        <v>5.33</v>
      </c>
      <c r="CD60" s="181" t="n"/>
    </row>
    <row r="61">
      <c r="A61" s="83" t="n"/>
      <c r="B61" s="226" t="inlineStr">
        <is>
          <t>Burning oil</t>
        </is>
      </c>
      <c r="C61" s="226" t="inlineStr">
        <is>
          <t>p/kWh</t>
        </is>
      </c>
      <c r="D61" s="235" t="n">
        <v>0.13</v>
      </c>
      <c r="E61" s="235" t="n">
        <v>0.13</v>
      </c>
      <c r="F61" s="235" t="n">
        <v>0.13</v>
      </c>
      <c r="G61" s="235" t="n">
        <v>0.13</v>
      </c>
      <c r="H61" s="235" t="n">
        <v>0.13</v>
      </c>
      <c r="I61" s="235" t="n">
        <v>0.13</v>
      </c>
      <c r="J61" s="235" t="n">
        <v>0.13</v>
      </c>
      <c r="K61" s="235" t="n">
        <v>0.13</v>
      </c>
      <c r="L61" s="235" t="n">
        <v>0.13</v>
      </c>
      <c r="M61" s="235" t="n">
        <v>0.13</v>
      </c>
      <c r="N61" s="235" t="n">
        <v>0.13</v>
      </c>
      <c r="O61" s="235" t="n">
        <v>0.13</v>
      </c>
      <c r="P61" s="235" t="n">
        <v>0.13</v>
      </c>
      <c r="Q61" s="235" t="n">
        <v>0.13</v>
      </c>
      <c r="R61" s="235" t="n">
        <v>0.13</v>
      </c>
      <c r="S61" s="235" t="n">
        <v>0.13</v>
      </c>
      <c r="T61" s="235" t="n">
        <v>0.13</v>
      </c>
      <c r="U61" s="235" t="n">
        <v>0.13</v>
      </c>
      <c r="V61" s="235" t="n">
        <v>0.13</v>
      </c>
      <c r="W61" s="235" t="n">
        <v>0.13</v>
      </c>
      <c r="X61" s="235" t="n">
        <v>0.13</v>
      </c>
      <c r="Y61" s="235" t="n">
        <v>0.13</v>
      </c>
      <c r="Z61" s="235" t="n">
        <v>0.13</v>
      </c>
      <c r="AA61" s="235" t="n">
        <v>0.13</v>
      </c>
      <c r="AB61" s="235" t="n">
        <v>0.13</v>
      </c>
      <c r="AC61" s="235" t="n">
        <v>0.13</v>
      </c>
      <c r="AD61" s="235" t="n">
        <v>0.13</v>
      </c>
      <c r="AE61" s="235" t="n">
        <v>0.13</v>
      </c>
      <c r="AF61" s="235" t="n">
        <v>0.13</v>
      </c>
      <c r="AG61" s="235" t="n">
        <v>0.13</v>
      </c>
      <c r="AH61" s="235" t="n">
        <v>0.13</v>
      </c>
      <c r="AI61" s="235" t="n">
        <v>0.13</v>
      </c>
      <c r="AJ61" s="235" t="n">
        <v>0.13</v>
      </c>
      <c r="AK61" s="235" t="n">
        <v>0.13</v>
      </c>
      <c r="AL61" s="235" t="n">
        <v>0.13</v>
      </c>
      <c r="AM61" s="235" t="n">
        <v>0.13</v>
      </c>
      <c r="AN61" s="235" t="n">
        <v>0.13</v>
      </c>
      <c r="AO61" s="235" t="n">
        <v>0.13</v>
      </c>
      <c r="AP61" s="235" t="n">
        <v>0.13</v>
      </c>
      <c r="AQ61" s="235" t="n">
        <v>0.13</v>
      </c>
      <c r="AR61" s="235" t="n">
        <v>0.13</v>
      </c>
      <c r="AS61" s="235" t="n">
        <v>0.13</v>
      </c>
      <c r="AT61" s="235" t="n">
        <v>0.13</v>
      </c>
      <c r="AU61" s="235" t="n">
        <v>0.13</v>
      </c>
      <c r="AV61" s="235" t="n">
        <v>0.13</v>
      </c>
      <c r="AW61" s="235" t="n">
        <v>0.13</v>
      </c>
      <c r="AX61" s="235" t="n">
        <v>0.13</v>
      </c>
      <c r="AY61" s="235" t="n">
        <v>0.13</v>
      </c>
      <c r="AZ61" s="235" t="n">
        <v>0.13</v>
      </c>
      <c r="BA61" s="235" t="n">
        <v>0.13</v>
      </c>
      <c r="BB61" s="235" t="n">
        <v>0.13</v>
      </c>
      <c r="BC61" s="235" t="n">
        <v>0.13</v>
      </c>
      <c r="BD61" s="235" t="n">
        <v>0.13</v>
      </c>
      <c r="BE61" s="235" t="n">
        <v>0.13</v>
      </c>
      <c r="BF61" s="235" t="n">
        <v>0.13</v>
      </c>
      <c r="BG61" s="235" t="n">
        <v>0.13</v>
      </c>
      <c r="BH61" s="235" t="n">
        <v>0.13</v>
      </c>
      <c r="BI61" s="235" t="n">
        <v>0.13</v>
      </c>
      <c r="BJ61" s="235" t="n">
        <v>0.13</v>
      </c>
      <c r="BK61" s="235" t="n">
        <v>0.13</v>
      </c>
      <c r="BL61" s="235" t="n">
        <v>0.13</v>
      </c>
      <c r="BM61" s="235" t="n">
        <v>0.13</v>
      </c>
      <c r="BN61" s="235" t="n">
        <v>0.13</v>
      </c>
      <c r="BO61" s="235" t="n">
        <v>0.13</v>
      </c>
      <c r="BP61" s="235" t="n">
        <v>0.13</v>
      </c>
      <c r="BQ61" s="235" t="n">
        <v>0.13</v>
      </c>
      <c r="BR61" s="235" t="n">
        <v>0.13</v>
      </c>
      <c r="BS61" s="235" t="n">
        <v>0.13</v>
      </c>
      <c r="BT61" s="235" t="n">
        <v>0.13</v>
      </c>
      <c r="BU61" s="235" t="n">
        <v>0.13</v>
      </c>
      <c r="BV61" s="235" t="n">
        <v>0.13</v>
      </c>
      <c r="BW61" s="235" t="n">
        <v>0.13</v>
      </c>
      <c r="BX61" s="235" t="n">
        <v>0.13</v>
      </c>
      <c r="BY61" s="235" t="n">
        <v>0.13</v>
      </c>
      <c r="BZ61" s="235" t="n">
        <v>0.13</v>
      </c>
      <c r="CA61" s="235" t="n">
        <v>0.13</v>
      </c>
      <c r="CB61" s="235" t="n">
        <v>0.13</v>
      </c>
      <c r="CC61" s="236" t="n">
        <v>0.13</v>
      </c>
      <c r="CD61" s="181" t="n"/>
    </row>
    <row r="62">
      <c r="A62" s="83" t="n"/>
      <c r="B62" s="226" t="inlineStr">
        <is>
          <t>Biomass</t>
        </is>
      </c>
      <c r="C62" s="226" t="inlineStr">
        <is>
          <t>p/kWh</t>
        </is>
      </c>
      <c r="D62" s="235" t="n">
        <v>5.54</v>
      </c>
      <c r="E62" s="235" t="n">
        <v>5.54</v>
      </c>
      <c r="F62" s="235" t="n">
        <v>5.54</v>
      </c>
      <c r="G62" s="235" t="n">
        <v>5.54</v>
      </c>
      <c r="H62" s="235" t="n">
        <v>5.54</v>
      </c>
      <c r="I62" s="235" t="n">
        <v>5.54</v>
      </c>
      <c r="J62" s="235" t="n">
        <v>5.54</v>
      </c>
      <c r="K62" s="235" t="n">
        <v>5.54</v>
      </c>
      <c r="L62" s="235" t="n">
        <v>5.54</v>
      </c>
      <c r="M62" s="235" t="n">
        <v>5.54</v>
      </c>
      <c r="N62" s="235" t="n">
        <v>5.54</v>
      </c>
      <c r="O62" s="235" t="n">
        <v>5.54</v>
      </c>
      <c r="P62" s="235" t="n">
        <v>5.54</v>
      </c>
      <c r="Q62" s="235" t="n">
        <v>5.54</v>
      </c>
      <c r="R62" s="235" t="n">
        <v>5.54</v>
      </c>
      <c r="S62" s="235" t="n">
        <v>5.54</v>
      </c>
      <c r="T62" s="235" t="n">
        <v>5.54</v>
      </c>
      <c r="U62" s="235" t="n">
        <v>5.54</v>
      </c>
      <c r="V62" s="235" t="n">
        <v>5.54</v>
      </c>
      <c r="W62" s="235" t="n">
        <v>5.54</v>
      </c>
      <c r="X62" s="235" t="n">
        <v>5.54</v>
      </c>
      <c r="Y62" s="235" t="n">
        <v>5.54</v>
      </c>
      <c r="Z62" s="235" t="n">
        <v>5.54</v>
      </c>
      <c r="AA62" s="235" t="n">
        <v>5.54</v>
      </c>
      <c r="AB62" s="235" t="n">
        <v>5.54</v>
      </c>
      <c r="AC62" s="235" t="n">
        <v>5.54</v>
      </c>
      <c r="AD62" s="235" t="n">
        <v>5.54</v>
      </c>
      <c r="AE62" s="235" t="n">
        <v>5.54</v>
      </c>
      <c r="AF62" s="235" t="n">
        <v>5.54</v>
      </c>
      <c r="AG62" s="235" t="n">
        <v>5.54</v>
      </c>
      <c r="AH62" s="235" t="n">
        <v>5.54</v>
      </c>
      <c r="AI62" s="235" t="n">
        <v>5.54</v>
      </c>
      <c r="AJ62" s="235" t="n">
        <v>5.54</v>
      </c>
      <c r="AK62" s="235" t="n">
        <v>5.54</v>
      </c>
      <c r="AL62" s="235" t="n">
        <v>5.54</v>
      </c>
      <c r="AM62" s="235" t="n">
        <v>5.54</v>
      </c>
      <c r="AN62" s="235" t="n">
        <v>5.54</v>
      </c>
      <c r="AO62" s="235" t="n">
        <v>5.54</v>
      </c>
      <c r="AP62" s="235" t="n">
        <v>5.54</v>
      </c>
      <c r="AQ62" s="235" t="n">
        <v>5.54</v>
      </c>
      <c r="AR62" s="235" t="n">
        <v>5.54</v>
      </c>
      <c r="AS62" s="235" t="n">
        <v>5.54</v>
      </c>
      <c r="AT62" s="235" t="n">
        <v>5.54</v>
      </c>
      <c r="AU62" s="235" t="n">
        <v>5.54</v>
      </c>
      <c r="AV62" s="235" t="n">
        <v>5.54</v>
      </c>
      <c r="AW62" s="235" t="n">
        <v>5.54</v>
      </c>
      <c r="AX62" s="235" t="n">
        <v>5.54</v>
      </c>
      <c r="AY62" s="235" t="n">
        <v>5.54</v>
      </c>
      <c r="AZ62" s="235" t="n">
        <v>5.54</v>
      </c>
      <c r="BA62" s="235" t="n">
        <v>5.54</v>
      </c>
      <c r="BB62" s="235" t="n">
        <v>5.54</v>
      </c>
      <c r="BC62" s="235" t="n">
        <v>5.54</v>
      </c>
      <c r="BD62" s="235" t="n">
        <v>5.54</v>
      </c>
      <c r="BE62" s="235" t="n">
        <v>5.54</v>
      </c>
      <c r="BF62" s="235" t="n">
        <v>5.54</v>
      </c>
      <c r="BG62" s="235" t="n">
        <v>5.54</v>
      </c>
      <c r="BH62" s="235" t="n">
        <v>5.54</v>
      </c>
      <c r="BI62" s="235" t="n">
        <v>5.54</v>
      </c>
      <c r="BJ62" s="235" t="n">
        <v>5.54</v>
      </c>
      <c r="BK62" s="235" t="n">
        <v>5.54</v>
      </c>
      <c r="BL62" s="235" t="n">
        <v>5.54</v>
      </c>
      <c r="BM62" s="235" t="n">
        <v>5.54</v>
      </c>
      <c r="BN62" s="235" t="n">
        <v>5.54</v>
      </c>
      <c r="BO62" s="235" t="n">
        <v>5.54</v>
      </c>
      <c r="BP62" s="235" t="n">
        <v>5.54</v>
      </c>
      <c r="BQ62" s="235" t="n">
        <v>5.54</v>
      </c>
      <c r="BR62" s="235" t="n">
        <v>5.54</v>
      </c>
      <c r="BS62" s="235" t="n">
        <v>5.54</v>
      </c>
      <c r="BT62" s="235" t="n">
        <v>5.54</v>
      </c>
      <c r="BU62" s="235" t="n">
        <v>5.54</v>
      </c>
      <c r="BV62" s="235" t="n">
        <v>5.54</v>
      </c>
      <c r="BW62" s="235" t="n">
        <v>5.54</v>
      </c>
      <c r="BX62" s="235" t="n">
        <v>5.54</v>
      </c>
      <c r="BY62" s="235" t="n">
        <v>5.54</v>
      </c>
      <c r="BZ62" s="235" t="n">
        <v>5.54</v>
      </c>
      <c r="CA62" s="235" t="n">
        <v>5.54</v>
      </c>
      <c r="CB62" s="235" t="n">
        <v>5.54</v>
      </c>
      <c r="CC62" s="236" t="n">
        <v>5.54</v>
      </c>
      <c r="CD62" s="181" t="n"/>
    </row>
    <row r="63">
      <c r="A63" s="83" t="n"/>
      <c r="B63" s="226" t="inlineStr">
        <is>
          <t>LPG</t>
        </is>
      </c>
      <c r="C63" s="226" t="inlineStr">
        <is>
          <t>p/kWh</t>
        </is>
      </c>
      <c r="D63" s="235" t="n">
        <v>0.08</v>
      </c>
      <c r="E63" s="235" t="n">
        <v>0.08</v>
      </c>
      <c r="F63" s="235" t="n">
        <v>0.08</v>
      </c>
      <c r="G63" s="235" t="n">
        <v>0.08</v>
      </c>
      <c r="H63" s="235" t="n">
        <v>0.08</v>
      </c>
      <c r="I63" s="235" t="n">
        <v>0.08</v>
      </c>
      <c r="J63" s="235" t="n">
        <v>0.08</v>
      </c>
      <c r="K63" s="235" t="n">
        <v>0.08</v>
      </c>
      <c r="L63" s="235" t="n">
        <v>0.08</v>
      </c>
      <c r="M63" s="235" t="n">
        <v>0.08</v>
      </c>
      <c r="N63" s="235" t="n">
        <v>0.08</v>
      </c>
      <c r="O63" s="235" t="n">
        <v>0.08</v>
      </c>
      <c r="P63" s="235" t="n">
        <v>0.08</v>
      </c>
      <c r="Q63" s="235" t="n">
        <v>0.08</v>
      </c>
      <c r="R63" s="235" t="n">
        <v>0.08</v>
      </c>
      <c r="S63" s="235" t="n">
        <v>0.08</v>
      </c>
      <c r="T63" s="235" t="n">
        <v>0.08</v>
      </c>
      <c r="U63" s="235" t="n">
        <v>0.08</v>
      </c>
      <c r="V63" s="235" t="n">
        <v>0.08</v>
      </c>
      <c r="W63" s="235" t="n">
        <v>0.08</v>
      </c>
      <c r="X63" s="235" t="n">
        <v>0.08</v>
      </c>
      <c r="Y63" s="235" t="n">
        <v>0.08</v>
      </c>
      <c r="Z63" s="235" t="n">
        <v>0.08</v>
      </c>
      <c r="AA63" s="235" t="n">
        <v>0.08</v>
      </c>
      <c r="AB63" s="235" t="n">
        <v>0.08</v>
      </c>
      <c r="AC63" s="235" t="n">
        <v>0.08</v>
      </c>
      <c r="AD63" s="235" t="n">
        <v>0.08</v>
      </c>
      <c r="AE63" s="235" t="n">
        <v>0.08</v>
      </c>
      <c r="AF63" s="235" t="n">
        <v>0.08</v>
      </c>
      <c r="AG63" s="235" t="n">
        <v>0.08</v>
      </c>
      <c r="AH63" s="235" t="n">
        <v>0.08</v>
      </c>
      <c r="AI63" s="235" t="n">
        <v>0.08</v>
      </c>
      <c r="AJ63" s="235" t="n">
        <v>0.08</v>
      </c>
      <c r="AK63" s="235" t="n">
        <v>0.08</v>
      </c>
      <c r="AL63" s="235" t="n">
        <v>0.08</v>
      </c>
      <c r="AM63" s="235" t="n">
        <v>0.08</v>
      </c>
      <c r="AN63" s="235" t="n">
        <v>0.08</v>
      </c>
      <c r="AO63" s="235" t="n">
        <v>0.08</v>
      </c>
      <c r="AP63" s="235" t="n">
        <v>0.08</v>
      </c>
      <c r="AQ63" s="235" t="n">
        <v>0.08</v>
      </c>
      <c r="AR63" s="235" t="n">
        <v>0.08</v>
      </c>
      <c r="AS63" s="235" t="n">
        <v>0.08</v>
      </c>
      <c r="AT63" s="235" t="n">
        <v>0.08</v>
      </c>
      <c r="AU63" s="235" t="n">
        <v>0.08</v>
      </c>
      <c r="AV63" s="235" t="n">
        <v>0.08</v>
      </c>
      <c r="AW63" s="235" t="n">
        <v>0.08</v>
      </c>
      <c r="AX63" s="235" t="n">
        <v>0.08</v>
      </c>
      <c r="AY63" s="235" t="n">
        <v>0.08</v>
      </c>
      <c r="AZ63" s="235" t="n">
        <v>0.08</v>
      </c>
      <c r="BA63" s="235" t="n">
        <v>0.08</v>
      </c>
      <c r="BB63" s="235" t="n">
        <v>0.08</v>
      </c>
      <c r="BC63" s="235" t="n">
        <v>0.08</v>
      </c>
      <c r="BD63" s="235" t="n">
        <v>0.08</v>
      </c>
      <c r="BE63" s="235" t="n">
        <v>0.08</v>
      </c>
      <c r="BF63" s="235" t="n">
        <v>0.08</v>
      </c>
      <c r="BG63" s="235" t="n">
        <v>0.08</v>
      </c>
      <c r="BH63" s="235" t="n">
        <v>0.08</v>
      </c>
      <c r="BI63" s="235" t="n">
        <v>0.08</v>
      </c>
      <c r="BJ63" s="235" t="n">
        <v>0.08</v>
      </c>
      <c r="BK63" s="235" t="n">
        <v>0.08</v>
      </c>
      <c r="BL63" s="235" t="n">
        <v>0.08</v>
      </c>
      <c r="BM63" s="235" t="n">
        <v>0.08</v>
      </c>
      <c r="BN63" s="235" t="n">
        <v>0.08</v>
      </c>
      <c r="BO63" s="235" t="n">
        <v>0.08</v>
      </c>
      <c r="BP63" s="235" t="n">
        <v>0.08</v>
      </c>
      <c r="BQ63" s="235" t="n">
        <v>0.08</v>
      </c>
      <c r="BR63" s="235" t="n">
        <v>0.08</v>
      </c>
      <c r="BS63" s="235" t="n">
        <v>0.08</v>
      </c>
      <c r="BT63" s="235" t="n">
        <v>0.08</v>
      </c>
      <c r="BU63" s="235" t="n">
        <v>0.08</v>
      </c>
      <c r="BV63" s="235" t="n">
        <v>0.08</v>
      </c>
      <c r="BW63" s="235" t="n">
        <v>0.08</v>
      </c>
      <c r="BX63" s="235" t="n">
        <v>0.08</v>
      </c>
      <c r="BY63" s="235" t="n">
        <v>0.08</v>
      </c>
      <c r="BZ63" s="235" t="n">
        <v>0.08</v>
      </c>
      <c r="CA63" s="235" t="n">
        <v>0.08</v>
      </c>
      <c r="CB63" s="235" t="n">
        <v>0.08</v>
      </c>
      <c r="CC63" s="236" t="n">
        <v>0.08</v>
      </c>
      <c r="CD63" s="181" t="n"/>
    </row>
    <row r="64">
      <c r="A64" s="83" t="n"/>
      <c r="B64" s="226" t="inlineStr">
        <is>
          <t>Peat</t>
        </is>
      </c>
      <c r="C64" s="226" t="inlineStr">
        <is>
          <t>p/kWh</t>
        </is>
      </c>
      <c r="D64" s="235" t="inlineStr">
        <is>
          <t>N/A</t>
        </is>
      </c>
      <c r="E64" s="235" t="inlineStr">
        <is>
          <t>N/A</t>
        </is>
      </c>
      <c r="F64" s="235" t="inlineStr">
        <is>
          <t>N/A</t>
        </is>
      </c>
      <c r="G64" s="235" t="inlineStr">
        <is>
          <t>N/A</t>
        </is>
      </c>
      <c r="H64" s="235" t="inlineStr">
        <is>
          <t>N/A</t>
        </is>
      </c>
      <c r="I64" s="235" t="inlineStr">
        <is>
          <t>N/A</t>
        </is>
      </c>
      <c r="J64" s="235" t="inlineStr">
        <is>
          <t>N/A</t>
        </is>
      </c>
      <c r="K64" s="235" t="inlineStr">
        <is>
          <t>N/A</t>
        </is>
      </c>
      <c r="L64" s="235" t="inlineStr">
        <is>
          <t>N/A</t>
        </is>
      </c>
      <c r="M64" s="235" t="inlineStr">
        <is>
          <t>N/A</t>
        </is>
      </c>
      <c r="N64" s="235" t="inlineStr">
        <is>
          <t>N/A</t>
        </is>
      </c>
      <c r="O64" s="235" t="inlineStr">
        <is>
          <t>N/A</t>
        </is>
      </c>
      <c r="P64" s="235" t="inlineStr">
        <is>
          <t>N/A</t>
        </is>
      </c>
      <c r="Q64" s="235" t="inlineStr">
        <is>
          <t>N/A</t>
        </is>
      </c>
      <c r="R64" s="235" t="inlineStr">
        <is>
          <t>N/A</t>
        </is>
      </c>
      <c r="S64" s="235" t="inlineStr">
        <is>
          <t>N/A</t>
        </is>
      </c>
      <c r="T64" s="235" t="inlineStr">
        <is>
          <t>N/A</t>
        </is>
      </c>
      <c r="U64" s="235" t="inlineStr">
        <is>
          <t>N/A</t>
        </is>
      </c>
      <c r="V64" s="235" t="inlineStr">
        <is>
          <t>N/A</t>
        </is>
      </c>
      <c r="W64" s="235" t="inlineStr">
        <is>
          <t>N/A</t>
        </is>
      </c>
      <c r="X64" s="235" t="inlineStr">
        <is>
          <t>N/A</t>
        </is>
      </c>
      <c r="Y64" s="235" t="inlineStr">
        <is>
          <t>N/A</t>
        </is>
      </c>
      <c r="Z64" s="235" t="inlineStr">
        <is>
          <t>N/A</t>
        </is>
      </c>
      <c r="AA64" s="235" t="inlineStr">
        <is>
          <t>N/A</t>
        </is>
      </c>
      <c r="AB64" s="235" t="inlineStr">
        <is>
          <t>N/A</t>
        </is>
      </c>
      <c r="AC64" s="235" t="inlineStr">
        <is>
          <t>N/A</t>
        </is>
      </c>
      <c r="AD64" s="235" t="inlineStr">
        <is>
          <t>N/A</t>
        </is>
      </c>
      <c r="AE64" s="235" t="inlineStr">
        <is>
          <t>N/A</t>
        </is>
      </c>
      <c r="AF64" s="235" t="inlineStr">
        <is>
          <t>N/A</t>
        </is>
      </c>
      <c r="AG64" s="235" t="inlineStr">
        <is>
          <t>N/A</t>
        </is>
      </c>
      <c r="AH64" s="235" t="inlineStr">
        <is>
          <t>N/A</t>
        </is>
      </c>
      <c r="AI64" s="235" t="inlineStr">
        <is>
          <t>N/A</t>
        </is>
      </c>
      <c r="AJ64" s="235" t="inlineStr">
        <is>
          <t>N/A</t>
        </is>
      </c>
      <c r="AK64" s="235" t="inlineStr">
        <is>
          <t>N/A</t>
        </is>
      </c>
      <c r="AL64" s="235" t="inlineStr">
        <is>
          <t>N/A</t>
        </is>
      </c>
      <c r="AM64" s="235" t="inlineStr">
        <is>
          <t>N/A</t>
        </is>
      </c>
      <c r="AN64" s="235" t="inlineStr">
        <is>
          <t>N/A</t>
        </is>
      </c>
      <c r="AO64" s="235" t="inlineStr">
        <is>
          <t>N/A</t>
        </is>
      </c>
      <c r="AP64" s="235" t="inlineStr">
        <is>
          <t>N/A</t>
        </is>
      </c>
      <c r="AQ64" s="235" t="inlineStr">
        <is>
          <t>N/A</t>
        </is>
      </c>
      <c r="AR64" s="235" t="inlineStr">
        <is>
          <t>N/A</t>
        </is>
      </c>
      <c r="AS64" s="235" t="inlineStr">
        <is>
          <t>N/A</t>
        </is>
      </c>
      <c r="AT64" s="235" t="inlineStr">
        <is>
          <t>N/A</t>
        </is>
      </c>
      <c r="AU64" s="235" t="inlineStr">
        <is>
          <t>N/A</t>
        </is>
      </c>
      <c r="AV64" s="235" t="inlineStr">
        <is>
          <t>N/A</t>
        </is>
      </c>
      <c r="AW64" s="235" t="inlineStr">
        <is>
          <t>N/A</t>
        </is>
      </c>
      <c r="AX64" s="235" t="inlineStr">
        <is>
          <t>N/A</t>
        </is>
      </c>
      <c r="AY64" s="235" t="inlineStr">
        <is>
          <t>N/A</t>
        </is>
      </c>
      <c r="AZ64" s="235" t="inlineStr">
        <is>
          <t>N/A</t>
        </is>
      </c>
      <c r="BA64" s="235" t="inlineStr">
        <is>
          <t>N/A</t>
        </is>
      </c>
      <c r="BB64" s="235" t="inlineStr">
        <is>
          <t>N/A</t>
        </is>
      </c>
      <c r="BC64" s="235" t="inlineStr">
        <is>
          <t>N/A</t>
        </is>
      </c>
      <c r="BD64" s="235" t="inlineStr">
        <is>
          <t>N/A</t>
        </is>
      </c>
      <c r="BE64" s="235" t="inlineStr">
        <is>
          <t>N/A</t>
        </is>
      </c>
      <c r="BF64" s="235" t="inlineStr">
        <is>
          <t>N/A</t>
        </is>
      </c>
      <c r="BG64" s="235" t="inlineStr">
        <is>
          <t>N/A</t>
        </is>
      </c>
      <c r="BH64" s="235" t="inlineStr">
        <is>
          <t>N/A</t>
        </is>
      </c>
      <c r="BI64" s="235" t="inlineStr">
        <is>
          <t>N/A</t>
        </is>
      </c>
      <c r="BJ64" s="235" t="inlineStr">
        <is>
          <t>N/A</t>
        </is>
      </c>
      <c r="BK64" s="235" t="inlineStr">
        <is>
          <t>N/A</t>
        </is>
      </c>
      <c r="BL64" s="235" t="inlineStr">
        <is>
          <t>N/A</t>
        </is>
      </c>
      <c r="BM64" s="235" t="inlineStr">
        <is>
          <t>N/A</t>
        </is>
      </c>
      <c r="BN64" s="235" t="inlineStr">
        <is>
          <t>N/A</t>
        </is>
      </c>
      <c r="BO64" s="235" t="inlineStr">
        <is>
          <t>N/A</t>
        </is>
      </c>
      <c r="BP64" s="235" t="inlineStr">
        <is>
          <t>N/A</t>
        </is>
      </c>
      <c r="BQ64" s="235" t="inlineStr">
        <is>
          <t>N/A</t>
        </is>
      </c>
      <c r="BR64" s="235" t="inlineStr">
        <is>
          <t>N/A</t>
        </is>
      </c>
      <c r="BS64" s="235" t="inlineStr">
        <is>
          <t>N/A</t>
        </is>
      </c>
      <c r="BT64" s="235" t="inlineStr">
        <is>
          <t>N/A</t>
        </is>
      </c>
      <c r="BU64" s="235" t="inlineStr">
        <is>
          <t>N/A</t>
        </is>
      </c>
      <c r="BV64" s="235" t="inlineStr">
        <is>
          <t>N/A</t>
        </is>
      </c>
      <c r="BW64" s="235" t="inlineStr">
        <is>
          <t>N/A</t>
        </is>
      </c>
      <c r="BX64" s="235" t="inlineStr">
        <is>
          <t>N/A</t>
        </is>
      </c>
      <c r="BY64" s="235" t="inlineStr">
        <is>
          <t>N/A</t>
        </is>
      </c>
      <c r="BZ64" s="235" t="inlineStr">
        <is>
          <t>N/A</t>
        </is>
      </c>
      <c r="CA64" s="235" t="inlineStr">
        <is>
          <t>N/A</t>
        </is>
      </c>
      <c r="CB64" s="235" t="inlineStr">
        <is>
          <t>N/A</t>
        </is>
      </c>
      <c r="CC64" s="236" t="inlineStr">
        <is>
          <t>N/A</t>
        </is>
      </c>
      <c r="CD64" s="181" t="n"/>
    </row>
    <row r="65">
      <c r="A65" s="83" t="n"/>
      <c r="B65" s="226" t="inlineStr">
        <is>
          <t>Petroleum coke</t>
        </is>
      </c>
      <c r="C65" s="226" t="inlineStr">
        <is>
          <t>p/kWh</t>
        </is>
      </c>
      <c r="D65" s="237" t="n">
        <v>25.91</v>
      </c>
      <c r="E65" s="237" t="n">
        <v>25.91</v>
      </c>
      <c r="F65" s="237" t="n">
        <v>25.91</v>
      </c>
      <c r="G65" s="237" t="n">
        <v>25.91</v>
      </c>
      <c r="H65" s="237" t="n">
        <v>25.91</v>
      </c>
      <c r="I65" s="237" t="n">
        <v>25.91</v>
      </c>
      <c r="J65" s="237" t="n">
        <v>25.91</v>
      </c>
      <c r="K65" s="237" t="n">
        <v>25.91</v>
      </c>
      <c r="L65" s="237" t="n">
        <v>25.91</v>
      </c>
      <c r="M65" s="237" t="n">
        <v>25.91</v>
      </c>
      <c r="N65" s="237" t="n">
        <v>25.91</v>
      </c>
      <c r="O65" s="237" t="n">
        <v>25.91</v>
      </c>
      <c r="P65" s="237" t="n">
        <v>25.91</v>
      </c>
      <c r="Q65" s="237" t="n">
        <v>25.91</v>
      </c>
      <c r="R65" s="237" t="n">
        <v>25.91</v>
      </c>
      <c r="S65" s="237" t="n">
        <v>25.91</v>
      </c>
      <c r="T65" s="237" t="n">
        <v>25.91</v>
      </c>
      <c r="U65" s="237" t="n">
        <v>25.91</v>
      </c>
      <c r="V65" s="237" t="n">
        <v>25.91</v>
      </c>
      <c r="W65" s="237" t="n">
        <v>25.91</v>
      </c>
      <c r="X65" s="237" t="n">
        <v>25.91</v>
      </c>
      <c r="Y65" s="237" t="n">
        <v>25.91</v>
      </c>
      <c r="Z65" s="237" t="n">
        <v>25.91</v>
      </c>
      <c r="AA65" s="237" t="n">
        <v>25.91</v>
      </c>
      <c r="AB65" s="237" t="n">
        <v>25.91</v>
      </c>
      <c r="AC65" s="237" t="n">
        <v>25.91</v>
      </c>
      <c r="AD65" s="237" t="n">
        <v>25.91</v>
      </c>
      <c r="AE65" s="237" t="n">
        <v>25.91</v>
      </c>
      <c r="AF65" s="237" t="n">
        <v>25.91</v>
      </c>
      <c r="AG65" s="237" t="n">
        <v>25.91</v>
      </c>
      <c r="AH65" s="237" t="n">
        <v>25.91</v>
      </c>
      <c r="AI65" s="237" t="n">
        <v>25.91</v>
      </c>
      <c r="AJ65" s="237" t="n">
        <v>25.91</v>
      </c>
      <c r="AK65" s="237" t="n">
        <v>25.91</v>
      </c>
      <c r="AL65" s="237" t="n">
        <v>25.91</v>
      </c>
      <c r="AM65" s="237" t="n">
        <v>25.91</v>
      </c>
      <c r="AN65" s="237" t="n">
        <v>25.91</v>
      </c>
      <c r="AO65" s="237" t="n">
        <v>25.91</v>
      </c>
      <c r="AP65" s="237" t="n">
        <v>25.91</v>
      </c>
      <c r="AQ65" s="237" t="n">
        <v>25.91</v>
      </c>
      <c r="AR65" s="237" t="n">
        <v>25.91</v>
      </c>
      <c r="AS65" s="237" t="n">
        <v>25.91</v>
      </c>
      <c r="AT65" s="237" t="n">
        <v>25.91</v>
      </c>
      <c r="AU65" s="237" t="n">
        <v>25.91</v>
      </c>
      <c r="AV65" s="237" t="n">
        <v>25.91</v>
      </c>
      <c r="AW65" s="237" t="n">
        <v>25.91</v>
      </c>
      <c r="AX65" s="237" t="n">
        <v>25.91</v>
      </c>
      <c r="AY65" s="237" t="n">
        <v>25.91</v>
      </c>
      <c r="AZ65" s="237" t="n">
        <v>25.91</v>
      </c>
      <c r="BA65" s="237" t="n">
        <v>25.91</v>
      </c>
      <c r="BB65" s="237" t="n">
        <v>25.91</v>
      </c>
      <c r="BC65" s="237" t="n">
        <v>25.91</v>
      </c>
      <c r="BD65" s="237" t="n">
        <v>25.91</v>
      </c>
      <c r="BE65" s="237" t="n">
        <v>25.91</v>
      </c>
      <c r="BF65" s="237" t="n">
        <v>25.91</v>
      </c>
      <c r="BG65" s="237" t="n">
        <v>25.91</v>
      </c>
      <c r="BH65" s="237" t="n">
        <v>25.91</v>
      </c>
      <c r="BI65" s="237" t="n">
        <v>25.91</v>
      </c>
      <c r="BJ65" s="237" t="n">
        <v>25.91</v>
      </c>
      <c r="BK65" s="237" t="n">
        <v>25.91</v>
      </c>
      <c r="BL65" s="237" t="n">
        <v>25.91</v>
      </c>
      <c r="BM65" s="237" t="n">
        <v>25.91</v>
      </c>
      <c r="BN65" s="237" t="n">
        <v>25.91</v>
      </c>
      <c r="BO65" s="237" t="n">
        <v>25.91</v>
      </c>
      <c r="BP65" s="237" t="n">
        <v>25.91</v>
      </c>
      <c r="BQ65" s="237" t="n">
        <v>25.91</v>
      </c>
      <c r="BR65" s="237" t="n">
        <v>25.91</v>
      </c>
      <c r="BS65" s="237" t="n">
        <v>25.91</v>
      </c>
      <c r="BT65" s="237" t="n">
        <v>25.91</v>
      </c>
      <c r="BU65" s="237" t="n">
        <v>25.91</v>
      </c>
      <c r="BV65" s="237" t="n">
        <v>25.91</v>
      </c>
      <c r="BW65" s="237" t="n">
        <v>25.91</v>
      </c>
      <c r="BX65" s="237" t="n">
        <v>25.91</v>
      </c>
      <c r="BY65" s="237" t="n">
        <v>25.91</v>
      </c>
      <c r="BZ65" s="237" t="n">
        <v>25.91</v>
      </c>
      <c r="CA65" s="237" t="n">
        <v>25.91</v>
      </c>
      <c r="CB65" s="237" t="n">
        <v>25.91</v>
      </c>
      <c r="CC65" s="238" t="n">
        <v>25.91</v>
      </c>
      <c r="CD65" s="181" t="n"/>
    </row>
    <row r="66">
      <c r="A66" s="83" t="n"/>
      <c r="B66" s="169" t="n"/>
      <c r="C66" s="169" t="n"/>
      <c r="D66" s="167" t="n"/>
      <c r="E66" s="167" t="n"/>
      <c r="F66" s="167" t="n"/>
      <c r="G66" s="167" t="n"/>
      <c r="H66" s="167" t="n"/>
      <c r="I66" s="167" t="n"/>
      <c r="J66" s="167" t="n"/>
      <c r="K66" s="167" t="n"/>
      <c r="L66" s="167" t="n"/>
      <c r="M66" s="167" t="n"/>
      <c r="N66" s="167" t="n"/>
      <c r="O66" s="167" t="n"/>
      <c r="P66" s="167" t="n"/>
      <c r="Q66" s="167" t="n"/>
      <c r="R66" s="167" t="n"/>
      <c r="S66" s="167" t="n"/>
      <c r="T66" s="167" t="n"/>
      <c r="U66" s="167" t="n"/>
      <c r="V66" s="167" t="n"/>
      <c r="W66" s="167" t="n"/>
      <c r="X66" s="167" t="n"/>
      <c r="Y66" s="167" t="n"/>
      <c r="Z66" s="167" t="n"/>
      <c r="AA66" s="167" t="n"/>
      <c r="AB66" s="167" t="n"/>
      <c r="AC66" s="167" t="n"/>
      <c r="AD66" s="167" t="n"/>
      <c r="AE66" s="167" t="n"/>
      <c r="AF66" s="167" t="n"/>
      <c r="AG66" s="167" t="n"/>
      <c r="AH66" s="167" t="n"/>
      <c r="AI66" s="167" t="n"/>
      <c r="AJ66" s="167" t="n"/>
      <c r="AK66" s="167" t="n"/>
      <c r="AL66" s="167" t="n"/>
      <c r="AM66" s="167" t="n"/>
      <c r="AN66" s="167" t="n"/>
      <c r="AO66" s="167" t="n"/>
      <c r="AP66" s="167" t="n"/>
      <c r="AQ66" s="167" t="n"/>
      <c r="AR66" s="167" t="n"/>
      <c r="AS66" s="167" t="n"/>
      <c r="AT66" s="167" t="n"/>
      <c r="AU66" s="167" t="n"/>
      <c r="AV66" s="167" t="n"/>
      <c r="AW66" s="167" t="n"/>
      <c r="AX66" s="167" t="n"/>
      <c r="AY66" s="167" t="n"/>
      <c r="AZ66" s="167" t="n"/>
      <c r="BA66" s="167" t="n"/>
      <c r="BB66" s="167" t="n"/>
      <c r="BC66" s="167" t="n"/>
      <c r="BD66" s="167" t="n"/>
      <c r="BE66" s="167" t="n"/>
      <c r="BF66" s="167" t="n"/>
      <c r="BG66" s="167" t="n"/>
      <c r="BH66" s="167" t="n"/>
      <c r="BI66" s="167" t="n"/>
      <c r="BJ66" s="167" t="n"/>
      <c r="BK66" s="167" t="n"/>
      <c r="BL66" s="167" t="n"/>
      <c r="BM66" s="167" t="n"/>
      <c r="BN66" s="167" t="n"/>
      <c r="BO66" s="167" t="n"/>
      <c r="BP66" s="167" t="n"/>
      <c r="BQ66" s="167" t="n"/>
      <c r="BR66" s="167" t="n"/>
      <c r="BS66" s="167" t="n"/>
      <c r="BT66" s="167" t="n"/>
      <c r="BU66" s="167" t="n"/>
      <c r="BV66" s="167" t="n"/>
      <c r="BW66" s="167" t="n"/>
      <c r="BX66" s="167" t="n"/>
      <c r="BY66" s="167" t="n"/>
      <c r="BZ66" s="167" t="n"/>
      <c r="CA66" s="167" t="n"/>
      <c r="CB66" s="167" t="n"/>
      <c r="CC66" s="167" t="n"/>
      <c r="CD66" s="169" t="n"/>
    </row>
    <row r="67">
      <c r="A67" s="83" t="n"/>
      <c r="B67" s="239" t="inlineStr">
        <is>
          <t>Source: Defra</t>
        </is>
      </c>
      <c r="C67" s="169" t="n"/>
      <c r="D67" s="169" t="n"/>
      <c r="E67" s="169" t="n"/>
      <c r="F67" s="169" t="n"/>
      <c r="G67" s="169" t="n"/>
      <c r="H67" s="169" t="n"/>
      <c r="I67" s="169" t="n"/>
      <c r="J67" s="169" t="n"/>
      <c r="K67" s="169" t="n"/>
      <c r="L67" s="169" t="n"/>
      <c r="M67" s="169" t="n"/>
      <c r="N67" s="169" t="n"/>
      <c r="O67" s="169" t="n"/>
      <c r="P67" s="169" t="n"/>
      <c r="Q67" s="169" t="n"/>
      <c r="R67" s="169" t="n"/>
      <c r="S67" s="169" t="n"/>
      <c r="T67" s="169" t="n"/>
      <c r="U67" s="169" t="n"/>
      <c r="V67" s="169" t="n"/>
      <c r="W67" s="169" t="n"/>
      <c r="X67" s="169" t="n"/>
      <c r="Y67" s="169" t="n"/>
      <c r="Z67" s="169" t="n"/>
      <c r="AA67" s="169" t="n"/>
      <c r="AB67" s="169" t="n"/>
      <c r="AC67" s="169" t="n"/>
      <c r="AD67" s="169" t="n"/>
      <c r="AE67" s="169" t="n"/>
      <c r="AF67" s="169" t="n"/>
      <c r="AG67" s="169" t="n"/>
      <c r="AH67" s="169" t="n"/>
      <c r="AI67" s="169" t="n"/>
      <c r="AJ67" s="169" t="n"/>
      <c r="AK67" s="169" t="n"/>
      <c r="AL67" s="169" t="n"/>
      <c r="AM67" s="169" t="n"/>
      <c r="AN67" s="169" t="n"/>
      <c r="AO67" s="169" t="n"/>
      <c r="AP67" s="169" t="n"/>
      <c r="AQ67" s="169" t="n"/>
      <c r="AR67" s="169" t="n"/>
      <c r="AS67" s="169" t="n"/>
      <c r="AT67" s="169" t="n"/>
      <c r="AU67" s="169" t="n"/>
      <c r="AV67" s="169" t="n"/>
      <c r="AW67" s="169" t="n"/>
      <c r="AX67" s="169" t="n"/>
      <c r="AY67" s="169" t="n"/>
      <c r="AZ67" s="169" t="n"/>
      <c r="BA67" s="169" t="n"/>
      <c r="BB67" s="169" t="n"/>
      <c r="BC67" s="169" t="n"/>
      <c r="BD67" s="169" t="n"/>
      <c r="BE67" s="169" t="n"/>
      <c r="BF67" s="169" t="n"/>
      <c r="BG67" s="169" t="n"/>
      <c r="BH67" s="169" t="n"/>
      <c r="BI67" s="169" t="n"/>
      <c r="BJ67" s="169" t="n"/>
      <c r="BK67" s="169" t="n"/>
      <c r="BL67" s="169" t="n"/>
      <c r="BM67" s="169" t="n"/>
      <c r="BN67" s="169" t="n"/>
      <c r="BO67" s="169" t="n"/>
      <c r="BP67" s="169" t="n"/>
      <c r="BQ67" s="169" t="n"/>
      <c r="BR67" s="169" t="n"/>
      <c r="BS67" s="169" t="n"/>
      <c r="BT67" s="169" t="n"/>
      <c r="BU67" s="169" t="n"/>
      <c r="BV67" s="169" t="n"/>
      <c r="BW67" s="169" t="n"/>
      <c r="BX67" s="169" t="n"/>
      <c r="BY67" s="169" t="n"/>
      <c r="BZ67" s="169" t="n"/>
      <c r="CA67" s="169" t="n"/>
      <c r="CB67" s="169" t="n"/>
      <c r="CC67" s="169" t="n"/>
      <c r="CD67" s="169" t="n"/>
    </row>
    <row r="68">
      <c r="A68" s="83" t="n"/>
      <c r="B68" s="195" t="n"/>
      <c r="C68" s="169" t="n"/>
      <c r="D68" s="169" t="n"/>
      <c r="E68" s="169" t="n"/>
      <c r="F68" s="169" t="n"/>
      <c r="G68" s="169" t="n"/>
      <c r="H68" s="169" t="n"/>
      <c r="I68" s="169" t="n"/>
      <c r="J68" s="169" t="n"/>
      <c r="K68" s="169" t="n"/>
      <c r="L68" s="169" t="n"/>
      <c r="M68" s="169" t="n"/>
      <c r="N68" s="169" t="n"/>
      <c r="O68" s="169" t="n"/>
      <c r="P68" s="169" t="n"/>
      <c r="Q68" s="169" t="n"/>
      <c r="R68" s="169" t="n"/>
      <c r="S68" s="169" t="n"/>
      <c r="T68" s="169" t="n"/>
      <c r="U68" s="169" t="n"/>
      <c r="V68" s="169" t="n"/>
      <c r="W68" s="169" t="n"/>
      <c r="X68" s="169" t="n"/>
      <c r="Y68" s="169" t="n"/>
      <c r="Z68" s="169" t="n"/>
      <c r="AA68" s="169" t="n"/>
      <c r="AB68" s="169" t="n"/>
      <c r="AC68" s="169" t="n"/>
      <c r="AD68" s="169" t="n"/>
      <c r="AE68" s="169" t="n"/>
      <c r="AF68" s="169" t="n"/>
      <c r="AG68" s="169" t="n"/>
      <c r="AH68" s="169" t="n"/>
      <c r="AI68" s="169" t="n"/>
      <c r="AJ68" s="169" t="n"/>
      <c r="AK68" s="169" t="n"/>
      <c r="AL68" s="169" t="n"/>
      <c r="AM68" s="169" t="n"/>
      <c r="AN68" s="169" t="n"/>
      <c r="AO68" s="169" t="n"/>
      <c r="AP68" s="169" t="n"/>
      <c r="AQ68" s="169" t="n"/>
      <c r="AR68" s="169" t="n"/>
      <c r="AS68" s="169" t="n"/>
      <c r="AT68" s="169" t="n"/>
      <c r="AU68" s="169" t="n"/>
      <c r="AV68" s="169" t="n"/>
      <c r="AW68" s="169" t="n"/>
      <c r="AX68" s="169" t="n"/>
      <c r="AY68" s="169" t="n"/>
      <c r="AZ68" s="169" t="n"/>
      <c r="BA68" s="169" t="n"/>
      <c r="BB68" s="169" t="n"/>
      <c r="BC68" s="169" t="n"/>
      <c r="BD68" s="169" t="n"/>
      <c r="BE68" s="169" t="n"/>
      <c r="BF68" s="169" t="n"/>
      <c r="BG68" s="169" t="n"/>
      <c r="BH68" s="169" t="n"/>
      <c r="BI68" s="169" t="n"/>
      <c r="BJ68" s="169" t="n"/>
      <c r="BK68" s="169" t="n"/>
      <c r="BL68" s="169" t="n"/>
      <c r="BM68" s="169" t="n"/>
      <c r="BN68" s="169" t="n"/>
      <c r="BO68" s="169" t="n"/>
      <c r="BP68" s="169" t="n"/>
      <c r="BQ68" s="169" t="n"/>
      <c r="BR68" s="169" t="n"/>
      <c r="BS68" s="169" t="n"/>
      <c r="BT68" s="169" t="n"/>
      <c r="BU68" s="169" t="n"/>
      <c r="BV68" s="169" t="n"/>
      <c r="BW68" s="169" t="n"/>
      <c r="BX68" s="169" t="n"/>
      <c r="BY68" s="169" t="n"/>
      <c r="BZ68" s="169" t="n"/>
      <c r="CA68" s="169" t="n"/>
      <c r="CB68" s="169" t="n"/>
      <c r="CC68" s="169" t="n"/>
      <c r="CD68" s="169" t="n"/>
    </row>
    <row r="69">
      <c r="A69" s="83" t="n"/>
      <c r="B69" s="240" t="inlineStr">
        <is>
          <t>Definitions of the areas are taken from the DfT National Transport model and can be found in the link below in table A2:</t>
        </is>
      </c>
      <c r="C69" s="169" t="n"/>
      <c r="D69" s="169" t="n"/>
      <c r="E69" s="169" t="n"/>
      <c r="F69" s="169" t="n"/>
      <c r="G69" s="169" t="n"/>
      <c r="H69" s="169" t="n"/>
      <c r="I69" s="169" t="n"/>
      <c r="J69" s="169" t="n"/>
      <c r="K69" s="169" t="n"/>
      <c r="L69" s="169" t="n"/>
      <c r="M69" s="169" t="n"/>
      <c r="N69" s="169" t="n"/>
      <c r="O69" s="169" t="n"/>
      <c r="P69" s="169" t="n"/>
      <c r="Q69" s="169" t="n"/>
      <c r="R69" s="169" t="n"/>
      <c r="S69" s="169" t="n"/>
      <c r="T69" s="169" t="n"/>
      <c r="U69" s="169" t="n"/>
      <c r="V69" s="169" t="n"/>
      <c r="W69" s="169" t="n"/>
      <c r="X69" s="169" t="n"/>
      <c r="Y69" s="169" t="n"/>
      <c r="Z69" s="169" t="n"/>
      <c r="AA69" s="169" t="n"/>
      <c r="AB69" s="169" t="n"/>
      <c r="AC69" s="169" t="n"/>
      <c r="AD69" s="169" t="n"/>
      <c r="AE69" s="169" t="n"/>
      <c r="AF69" s="169" t="n"/>
      <c r="AG69" s="169" t="n"/>
      <c r="AH69" s="169" t="n"/>
      <c r="AI69" s="169" t="n"/>
      <c r="AJ69" s="169" t="n"/>
      <c r="AK69" s="169" t="n"/>
      <c r="AL69" s="169" t="n"/>
      <c r="AM69" s="169" t="n"/>
      <c r="AN69" s="169" t="n"/>
      <c r="AO69" s="169" t="n"/>
      <c r="AP69" s="169" t="n"/>
      <c r="AQ69" s="169" t="n"/>
      <c r="AR69" s="169" t="n"/>
      <c r="AS69" s="169" t="n"/>
      <c r="AT69" s="169" t="n"/>
      <c r="AU69" s="169" t="n"/>
      <c r="AV69" s="169" t="n"/>
      <c r="AW69" s="169" t="n"/>
      <c r="AX69" s="169" t="n"/>
      <c r="AY69" s="169" t="n"/>
      <c r="AZ69" s="169" t="n"/>
      <c r="BA69" s="169" t="n"/>
      <c r="BB69" s="169" t="n"/>
      <c r="BC69" s="169" t="n"/>
      <c r="BD69" s="169" t="n"/>
      <c r="BE69" s="169" t="n"/>
      <c r="BF69" s="169" t="n"/>
      <c r="BG69" s="169" t="n"/>
      <c r="BH69" s="169" t="n"/>
      <c r="BI69" s="169" t="n"/>
      <c r="BJ69" s="169" t="n"/>
      <c r="BK69" s="169" t="n"/>
      <c r="BL69" s="169" t="n"/>
      <c r="BM69" s="169" t="n"/>
      <c r="BN69" s="169" t="n"/>
      <c r="BO69" s="169" t="n"/>
      <c r="BP69" s="169" t="n"/>
      <c r="BQ69" s="169" t="n"/>
      <c r="BR69" s="169" t="n"/>
      <c r="BS69" s="169" t="n"/>
      <c r="BT69" s="169" t="n"/>
      <c r="BU69" s="169" t="n"/>
      <c r="BV69" s="169" t="n"/>
      <c r="BW69" s="169" t="n"/>
      <c r="BX69" s="169" t="n"/>
      <c r="BY69" s="169" t="n"/>
      <c r="BZ69" s="169" t="n"/>
      <c r="CA69" s="169" t="n"/>
      <c r="CB69" s="169" t="n"/>
      <c r="CC69" s="169" t="n"/>
      <c r="CD69" s="169" t="n"/>
    </row>
    <row r="70">
      <c r="A70" s="83" t="n"/>
      <c r="B70" s="241" t="inlineStr">
        <is>
          <t>https://www.gov.uk/government/uploads/system/uploads/attachment_data/file/286935/webtag-tag-unit-a5-4-marginal-external-congestion-costs.pdf</t>
        </is>
      </c>
      <c r="C70" s="169" t="n"/>
      <c r="D70" s="169" t="n"/>
      <c r="E70" s="169" t="n"/>
      <c r="F70" s="169" t="n"/>
      <c r="G70" s="169" t="n"/>
      <c r="H70" s="169" t="n"/>
      <c r="I70" s="169" t="n"/>
      <c r="J70" s="169" t="n"/>
      <c r="K70" s="169" t="n"/>
      <c r="L70" s="169" t="n"/>
      <c r="M70" s="169" t="n"/>
      <c r="N70" s="169" t="n"/>
      <c r="O70" s="169" t="n"/>
      <c r="P70" s="169" t="n"/>
      <c r="Q70" s="169" t="n"/>
      <c r="R70" s="169" t="n"/>
      <c r="S70" s="169" t="n"/>
      <c r="T70" s="169" t="n"/>
      <c r="U70" s="169" t="n"/>
      <c r="V70" s="169" t="n"/>
      <c r="W70" s="169" t="n"/>
      <c r="X70" s="169" t="n"/>
      <c r="Y70" s="169" t="n"/>
      <c r="Z70" s="169" t="n"/>
      <c r="AA70" s="169" t="n"/>
      <c r="AB70" s="169" t="n"/>
      <c r="AC70" s="169" t="n"/>
      <c r="AD70" s="169" t="n"/>
      <c r="AE70" s="169" t="n"/>
      <c r="AF70" s="169" t="n"/>
      <c r="AG70" s="169" t="n"/>
      <c r="AH70" s="169" t="n"/>
      <c r="AI70" s="169" t="n"/>
      <c r="AJ70" s="169" t="n"/>
      <c r="AK70" s="169" t="n"/>
      <c r="AL70" s="169" t="n"/>
      <c r="AM70" s="169" t="n"/>
      <c r="AN70" s="169" t="n"/>
      <c r="AO70" s="169" t="n"/>
      <c r="AP70" s="169" t="n"/>
      <c r="AQ70" s="169" t="n"/>
      <c r="AR70" s="169" t="n"/>
      <c r="AS70" s="169" t="n"/>
      <c r="AT70" s="169" t="n"/>
      <c r="AU70" s="169" t="n"/>
      <c r="AV70" s="169" t="n"/>
      <c r="AW70" s="169" t="n"/>
      <c r="AX70" s="169" t="n"/>
      <c r="AY70" s="169" t="n"/>
      <c r="AZ70" s="169" t="n"/>
      <c r="BA70" s="169" t="n"/>
      <c r="BB70" s="169" t="n"/>
      <c r="BC70" s="169" t="n"/>
      <c r="BD70" s="169" t="n"/>
      <c r="BE70" s="169" t="n"/>
      <c r="BF70" s="169" t="n"/>
      <c r="BG70" s="169" t="n"/>
      <c r="BH70" s="169" t="n"/>
      <c r="BI70" s="169" t="n"/>
      <c r="BJ70" s="169" t="n"/>
      <c r="BK70" s="169" t="n"/>
      <c r="BL70" s="169" t="n"/>
      <c r="BM70" s="169" t="n"/>
      <c r="BN70" s="169" t="n"/>
      <c r="BO70" s="169" t="n"/>
      <c r="BP70" s="169" t="n"/>
      <c r="BQ70" s="169" t="n"/>
      <c r="BR70" s="169" t="n"/>
      <c r="BS70" s="169" t="n"/>
      <c r="BT70" s="169" t="n"/>
      <c r="BU70" s="169" t="n"/>
      <c r="BV70" s="169" t="n"/>
      <c r="BW70" s="169" t="n"/>
      <c r="BX70" s="169" t="n"/>
      <c r="BY70" s="169" t="n"/>
      <c r="BZ70" s="169" t="n"/>
      <c r="CA70" s="169" t="n"/>
      <c r="CB70" s="169" t="n"/>
      <c r="CC70" s="169" t="n"/>
      <c r="CD70" s="169" t="n"/>
    </row>
    <row r="71">
      <c r="A71" s="83" t="n"/>
      <c r="B71" s="195" t="n"/>
      <c r="C71" s="169" t="n"/>
      <c r="D71" s="169" t="n"/>
      <c r="E71" s="169" t="n"/>
      <c r="F71" s="169" t="n"/>
      <c r="G71" s="169" t="n"/>
      <c r="H71" s="169" t="n"/>
      <c r="I71" s="169" t="n"/>
      <c r="J71" s="169" t="n"/>
      <c r="K71" s="169" t="n"/>
      <c r="L71" s="169" t="n"/>
      <c r="M71" s="169" t="n"/>
      <c r="N71" s="169" t="n"/>
      <c r="O71" s="169" t="n"/>
      <c r="P71" s="169" t="n"/>
      <c r="Q71" s="169" t="n"/>
      <c r="R71" s="169" t="n"/>
      <c r="S71" s="169" t="n"/>
      <c r="T71" s="169" t="n"/>
      <c r="U71" s="169" t="n"/>
      <c r="V71" s="169" t="n"/>
      <c r="W71" s="169" t="n"/>
      <c r="X71" s="169" t="n"/>
      <c r="Y71" s="169" t="n"/>
      <c r="Z71" s="169" t="n"/>
      <c r="AA71" s="169" t="n"/>
      <c r="AB71" s="169" t="n"/>
      <c r="AC71" s="169" t="n"/>
      <c r="AD71" s="169" t="n"/>
      <c r="AE71" s="169" t="n"/>
      <c r="AF71" s="169" t="n"/>
      <c r="AG71" s="169" t="n"/>
      <c r="AH71" s="169" t="n"/>
      <c r="AI71" s="169" t="n"/>
      <c r="AJ71" s="169" t="n"/>
      <c r="AK71" s="169" t="n"/>
      <c r="AL71" s="169" t="n"/>
      <c r="AM71" s="169" t="n"/>
      <c r="AN71" s="169" t="n"/>
      <c r="AO71" s="169" t="n"/>
      <c r="AP71" s="169" t="n"/>
      <c r="AQ71" s="169" t="n"/>
      <c r="AR71" s="169" t="n"/>
      <c r="AS71" s="169" t="n"/>
      <c r="AT71" s="169" t="n"/>
      <c r="AU71" s="169" t="n"/>
      <c r="AV71" s="169" t="n"/>
      <c r="AW71" s="169" t="n"/>
      <c r="AX71" s="169" t="n"/>
      <c r="AY71" s="169" t="n"/>
      <c r="AZ71" s="169" t="n"/>
      <c r="BA71" s="169" t="n"/>
      <c r="BB71" s="169" t="n"/>
      <c r="BC71" s="169" t="n"/>
      <c r="BD71" s="169" t="n"/>
      <c r="BE71" s="169" t="n"/>
      <c r="BF71" s="169" t="n"/>
      <c r="BG71" s="169" t="n"/>
      <c r="BH71" s="169" t="n"/>
      <c r="BI71" s="169" t="n"/>
      <c r="BJ71" s="169" t="n"/>
      <c r="BK71" s="169" t="n"/>
      <c r="BL71" s="169" t="n"/>
      <c r="BM71" s="169" t="n"/>
      <c r="BN71" s="169" t="n"/>
      <c r="BO71" s="169" t="n"/>
      <c r="BP71" s="169" t="n"/>
      <c r="BQ71" s="169" t="n"/>
      <c r="BR71" s="169" t="n"/>
      <c r="BS71" s="169" t="n"/>
      <c r="BT71" s="169" t="n"/>
      <c r="BU71" s="169" t="n"/>
      <c r="BV71" s="169" t="n"/>
      <c r="BW71" s="169" t="n"/>
      <c r="BX71" s="169" t="n"/>
      <c r="BY71" s="169" t="n"/>
      <c r="BZ71" s="169" t="n"/>
      <c r="CA71" s="169" t="n"/>
      <c r="CB71" s="169" t="n"/>
      <c r="CC71" s="169" t="n"/>
      <c r="CD71" s="169" t="n"/>
    </row>
    <row r="72">
      <c r="A72" s="83" t="n"/>
      <c r="B72" s="242" t="inlineStr">
        <is>
          <t>Defra's Air Quality Guidance can be found at:</t>
        </is>
      </c>
      <c r="C72" s="169" t="n"/>
      <c r="D72" s="169" t="n"/>
      <c r="E72" s="169" t="n"/>
      <c r="F72" s="169" t="n"/>
      <c r="G72" s="169" t="n"/>
      <c r="H72" s="169" t="n"/>
      <c r="I72" s="169" t="n"/>
      <c r="J72" s="169" t="n"/>
      <c r="K72" s="169" t="n"/>
      <c r="L72" s="169" t="n"/>
      <c r="M72" s="169" t="n"/>
      <c r="N72" s="169" t="n"/>
      <c r="O72" s="169" t="n"/>
      <c r="P72" s="169" t="n"/>
      <c r="Q72" s="169" t="n"/>
      <c r="R72" s="169" t="n"/>
      <c r="S72" s="169" t="n"/>
      <c r="T72" s="169" t="n"/>
      <c r="U72" s="169" t="n"/>
      <c r="V72" s="169" t="n"/>
      <c r="W72" s="169" t="n"/>
      <c r="X72" s="169" t="n"/>
      <c r="Y72" s="169" t="n"/>
      <c r="Z72" s="169" t="n"/>
      <c r="AA72" s="169" t="n"/>
      <c r="AB72" s="169" t="n"/>
      <c r="AC72" s="169" t="n"/>
      <c r="AD72" s="169" t="n"/>
      <c r="AE72" s="169" t="n"/>
      <c r="AF72" s="169" t="n"/>
      <c r="AG72" s="169" t="n"/>
      <c r="AH72" s="169" t="n"/>
      <c r="AI72" s="169" t="n"/>
      <c r="AJ72" s="169" t="n"/>
      <c r="AK72" s="169" t="n"/>
      <c r="AL72" s="169" t="n"/>
      <c r="AM72" s="169" t="n"/>
      <c r="AN72" s="169" t="n"/>
      <c r="AO72" s="169" t="n"/>
      <c r="AP72" s="169" t="n"/>
      <c r="AQ72" s="169" t="n"/>
      <c r="AR72" s="169" t="n"/>
      <c r="AS72" s="169" t="n"/>
      <c r="AT72" s="169" t="n"/>
      <c r="AU72" s="169" t="n"/>
      <c r="AV72" s="169" t="n"/>
      <c r="AW72" s="169" t="n"/>
      <c r="AX72" s="169" t="n"/>
      <c r="AY72" s="169" t="n"/>
      <c r="AZ72" s="169" t="n"/>
      <c r="BA72" s="169" t="n"/>
      <c r="BB72" s="169" t="n"/>
      <c r="BC72" s="169" t="n"/>
      <c r="BD72" s="169" t="n"/>
      <c r="BE72" s="169" t="n"/>
      <c r="BF72" s="169" t="n"/>
      <c r="BG72" s="169" t="n"/>
      <c r="BH72" s="169" t="n"/>
      <c r="BI72" s="169" t="n"/>
      <c r="BJ72" s="169" t="n"/>
      <c r="BK72" s="169" t="n"/>
      <c r="BL72" s="169" t="n"/>
      <c r="BM72" s="169" t="n"/>
      <c r="BN72" s="169" t="n"/>
      <c r="BO72" s="169" t="n"/>
      <c r="BP72" s="169" t="n"/>
      <c r="BQ72" s="169" t="n"/>
      <c r="BR72" s="169" t="n"/>
      <c r="BS72" s="169" t="n"/>
      <c r="BT72" s="169" t="n"/>
      <c r="BU72" s="169" t="n"/>
      <c r="BV72" s="169" t="n"/>
      <c r="BW72" s="169" t="n"/>
      <c r="BX72" s="169" t="n"/>
      <c r="BY72" s="169" t="n"/>
      <c r="BZ72" s="169" t="n"/>
      <c r="CA72" s="169" t="n"/>
      <c r="CB72" s="169" t="n"/>
      <c r="CC72" s="169" t="n"/>
      <c r="CD72" s="169" t="n"/>
    </row>
    <row r="73">
      <c r="A73" s="83" t="n"/>
      <c r="B73" s="243" t="inlineStr">
        <is>
          <t>https://www.gov.uk/government/publications/assess-the-impact-of-air-quality</t>
        </is>
      </c>
      <c r="C73" s="169" t="n"/>
      <c r="D73" s="169" t="n"/>
      <c r="E73" s="169" t="n"/>
      <c r="F73" s="169" t="n"/>
      <c r="G73" s="169" t="n"/>
      <c r="H73" s="169" t="n"/>
      <c r="I73" s="169" t="n"/>
      <c r="J73" s="169" t="n"/>
      <c r="K73" s="169" t="n"/>
      <c r="L73" s="169" t="n"/>
      <c r="M73" s="169" t="n"/>
      <c r="N73" s="169" t="n"/>
      <c r="O73" s="169" t="n"/>
      <c r="P73" s="169" t="n"/>
      <c r="Q73" s="169" t="n"/>
      <c r="R73" s="169" t="n"/>
      <c r="S73" s="169" t="n"/>
      <c r="T73" s="169" t="n"/>
      <c r="U73" s="169" t="n"/>
      <c r="V73" s="169" t="n"/>
      <c r="W73" s="169" t="n"/>
      <c r="X73" s="169" t="n"/>
      <c r="Y73" s="169" t="n"/>
      <c r="Z73" s="169" t="n"/>
      <c r="AA73" s="169" t="n"/>
      <c r="AB73" s="169" t="n"/>
      <c r="AC73" s="169" t="n"/>
      <c r="AD73" s="169" t="n"/>
      <c r="AE73" s="169" t="n"/>
      <c r="AF73" s="169" t="n"/>
      <c r="AG73" s="169" t="n"/>
      <c r="AH73" s="169" t="n"/>
      <c r="AI73" s="169" t="n"/>
      <c r="AJ73" s="169" t="n"/>
      <c r="AK73" s="169" t="n"/>
      <c r="AL73" s="169" t="n"/>
      <c r="AM73" s="169" t="n"/>
      <c r="AN73" s="169" t="n"/>
      <c r="AO73" s="169" t="n"/>
      <c r="AP73" s="169" t="n"/>
      <c r="AQ73" s="169" t="n"/>
      <c r="AR73" s="169" t="n"/>
      <c r="AS73" s="169" t="n"/>
      <c r="AT73" s="169" t="n"/>
      <c r="AU73" s="169" t="n"/>
      <c r="AV73" s="169" t="n"/>
      <c r="AW73" s="169" t="n"/>
      <c r="AX73" s="169" t="n"/>
      <c r="AY73" s="169" t="n"/>
      <c r="AZ73" s="169" t="n"/>
      <c r="BA73" s="169" t="n"/>
      <c r="BB73" s="169" t="n"/>
      <c r="BC73" s="169" t="n"/>
      <c r="BD73" s="169" t="n"/>
      <c r="BE73" s="169" t="n"/>
      <c r="BF73" s="169" t="n"/>
      <c r="BG73" s="169" t="n"/>
      <c r="BH73" s="169" t="n"/>
      <c r="BI73" s="169" t="n"/>
      <c r="BJ73" s="169" t="n"/>
      <c r="BK73" s="169" t="n"/>
      <c r="BL73" s="169" t="n"/>
      <c r="BM73" s="169" t="n"/>
      <c r="BN73" s="169" t="n"/>
      <c r="BO73" s="169" t="n"/>
      <c r="BP73" s="169" t="n"/>
      <c r="BQ73" s="169" t="n"/>
      <c r="BR73" s="169" t="n"/>
      <c r="BS73" s="169" t="n"/>
      <c r="BT73" s="169" t="n"/>
      <c r="BU73" s="169" t="n"/>
      <c r="BV73" s="169" t="n"/>
      <c r="BW73" s="169" t="n"/>
      <c r="BX73" s="169" t="n"/>
      <c r="BY73" s="169" t="n"/>
      <c r="BZ73" s="169" t="n"/>
      <c r="CA73" s="169" t="n"/>
      <c r="CB73" s="169" t="n"/>
      <c r="CC73" s="169" t="n"/>
      <c r="CD73" s="169" t="n"/>
    </row>
    <row r="74">
      <c r="A74" s="83" t="n"/>
      <c r="B74" s="169" t="n"/>
      <c r="C74" s="169" t="n"/>
      <c r="D74" s="169" t="n"/>
      <c r="E74" s="169" t="n"/>
      <c r="F74" s="169" t="n"/>
      <c r="G74" s="169" t="n"/>
      <c r="H74" s="169" t="n"/>
      <c r="I74" s="169" t="n"/>
      <c r="J74" s="169" t="n"/>
      <c r="K74" s="169" t="n"/>
      <c r="L74" s="169" t="n"/>
      <c r="M74" s="169" t="n"/>
      <c r="N74" s="169" t="n"/>
      <c r="O74" s="169" t="n"/>
      <c r="P74" s="169" t="n"/>
      <c r="Q74" s="169" t="n"/>
      <c r="R74" s="169" t="n"/>
      <c r="S74" s="169" t="n"/>
      <c r="T74" s="169" t="n"/>
      <c r="U74" s="169" t="n"/>
      <c r="V74" s="169" t="n"/>
      <c r="W74" s="169" t="n"/>
      <c r="X74" s="169" t="n"/>
      <c r="Y74" s="169" t="n"/>
      <c r="Z74" s="169" t="n"/>
      <c r="AA74" s="169" t="n"/>
      <c r="AB74" s="169" t="n"/>
      <c r="AC74" s="169" t="n"/>
      <c r="AD74" s="169" t="n"/>
      <c r="AE74" s="169" t="n"/>
      <c r="AF74" s="169" t="n"/>
      <c r="AG74" s="169" t="n"/>
      <c r="AH74" s="169" t="n"/>
      <c r="AI74" s="169" t="n"/>
      <c r="AJ74" s="169" t="n"/>
      <c r="AK74" s="169" t="n"/>
      <c r="AL74" s="169" t="n"/>
      <c r="AM74" s="169" t="n"/>
      <c r="AN74" s="169" t="n"/>
      <c r="AO74" s="169" t="n"/>
      <c r="AP74" s="169" t="n"/>
      <c r="AQ74" s="169" t="n"/>
      <c r="AR74" s="169" t="n"/>
      <c r="AS74" s="169" t="n"/>
      <c r="AT74" s="169" t="n"/>
      <c r="AU74" s="169" t="n"/>
      <c r="AV74" s="169" t="n"/>
      <c r="AW74" s="169" t="n"/>
      <c r="AX74" s="169" t="n"/>
      <c r="AY74" s="169" t="n"/>
      <c r="AZ74" s="169" t="n"/>
      <c r="BA74" s="169" t="n"/>
      <c r="BB74" s="169" t="n"/>
      <c r="BC74" s="169" t="n"/>
      <c r="BD74" s="169" t="n"/>
      <c r="BE74" s="169" t="n"/>
      <c r="BF74" s="169" t="n"/>
      <c r="BG74" s="169" t="n"/>
      <c r="BH74" s="169" t="n"/>
      <c r="BI74" s="169" t="n"/>
      <c r="BJ74" s="169" t="n"/>
      <c r="BK74" s="169" t="n"/>
      <c r="BL74" s="169" t="n"/>
      <c r="BM74" s="169" t="n"/>
      <c r="BN74" s="169" t="n"/>
      <c r="BO74" s="169" t="n"/>
      <c r="BP74" s="169" t="n"/>
      <c r="BQ74" s="169" t="n"/>
      <c r="BR74" s="169" t="n"/>
      <c r="BS74" s="169" t="n"/>
      <c r="BT74" s="169" t="n"/>
      <c r="BU74" s="169" t="n"/>
      <c r="BV74" s="169" t="n"/>
      <c r="BW74" s="169" t="n"/>
      <c r="BX74" s="169" t="n"/>
      <c r="BY74" s="169" t="n"/>
      <c r="BZ74" s="169" t="n"/>
      <c r="CA74" s="169" t="n"/>
      <c r="CB74" s="169" t="n"/>
      <c r="CC74" s="169" t="n"/>
      <c r="CD74" s="169" t="n"/>
    </row>
    <row r="75">
      <c r="A75" s="83" t="n"/>
      <c r="B75" s="170" t="inlineStr">
        <is>
          <t>For further information on valuing Air Quality impacts, contact the IGCB:</t>
        </is>
      </c>
      <c r="C75" s="169" t="n"/>
      <c r="D75" s="169" t="n"/>
      <c r="E75" s="169" t="n"/>
      <c r="F75" s="169" t="n"/>
      <c r="G75" s="169" t="n"/>
      <c r="H75" s="169" t="n"/>
      <c r="I75" s="169" t="n"/>
      <c r="J75" s="169" t="n"/>
      <c r="K75" s="169" t="n"/>
      <c r="L75" s="169" t="n"/>
      <c r="M75" s="169" t="n"/>
      <c r="N75" s="169" t="n"/>
      <c r="O75" s="169" t="n"/>
      <c r="P75" s="169" t="n"/>
      <c r="Q75" s="169" t="n"/>
      <c r="R75" s="169" t="n"/>
      <c r="S75" s="169" t="n"/>
      <c r="T75" s="169" t="n"/>
      <c r="U75" s="169" t="n"/>
      <c r="V75" s="169" t="n"/>
      <c r="W75" s="169" t="n"/>
      <c r="X75" s="169" t="n"/>
      <c r="Y75" s="169" t="n"/>
      <c r="Z75" s="169" t="n"/>
      <c r="AA75" s="169" t="n"/>
      <c r="AB75" s="169" t="n"/>
      <c r="AC75" s="169" t="n"/>
      <c r="AD75" s="169" t="n"/>
      <c r="AE75" s="169" t="n"/>
      <c r="AF75" s="169" t="n"/>
      <c r="AG75" s="169" t="n"/>
      <c r="AH75" s="169" t="n"/>
      <c r="AI75" s="169" t="n"/>
      <c r="AJ75" s="169" t="n"/>
      <c r="AK75" s="169" t="n"/>
      <c r="AL75" s="169" t="n"/>
      <c r="AM75" s="169" t="n"/>
      <c r="AN75" s="169" t="n"/>
      <c r="AO75" s="169" t="n"/>
      <c r="AP75" s="169" t="n"/>
      <c r="AQ75" s="169" t="n"/>
      <c r="AR75" s="169" t="n"/>
      <c r="AS75" s="169" t="n"/>
      <c r="AT75" s="169" t="n"/>
      <c r="AU75" s="169" t="n"/>
      <c r="AV75" s="169" t="n"/>
      <c r="AW75" s="169" t="n"/>
      <c r="AX75" s="169" t="n"/>
      <c r="AY75" s="169" t="n"/>
      <c r="AZ75" s="169" t="n"/>
      <c r="BA75" s="169" t="n"/>
      <c r="BB75" s="169" t="n"/>
      <c r="BC75" s="169" t="n"/>
      <c r="BD75" s="169" t="n"/>
      <c r="BE75" s="169" t="n"/>
      <c r="BF75" s="169" t="n"/>
      <c r="BG75" s="169" t="n"/>
      <c r="BH75" s="169" t="n"/>
      <c r="BI75" s="169" t="n"/>
      <c r="BJ75" s="169" t="n"/>
      <c r="BK75" s="169" t="n"/>
      <c r="BL75" s="169" t="n"/>
      <c r="BM75" s="169" t="n"/>
      <c r="BN75" s="169" t="n"/>
      <c r="BO75" s="169" t="n"/>
      <c r="BP75" s="169" t="n"/>
      <c r="BQ75" s="169" t="n"/>
      <c r="BR75" s="169" t="n"/>
      <c r="BS75" s="169" t="n"/>
      <c r="BT75" s="169" t="n"/>
      <c r="BU75" s="169" t="n"/>
      <c r="BV75" s="169" t="n"/>
      <c r="BW75" s="169" t="n"/>
      <c r="BX75" s="169" t="n"/>
      <c r="BY75" s="169" t="n"/>
      <c r="BZ75" s="169" t="n"/>
      <c r="CA75" s="169" t="n"/>
      <c r="CB75" s="169" t="n"/>
      <c r="CC75" s="169" t="n"/>
      <c r="CD75" s="169" t="n"/>
    </row>
    <row r="76">
      <c r="A76" s="83" t="n"/>
      <c r="B76" s="244" t="inlineStr">
        <is>
          <t>igcb@defra.gsi.gov.uk</t>
        </is>
      </c>
      <c r="C76" s="169" t="n"/>
      <c r="D76" s="169" t="n"/>
      <c r="E76" s="169" t="n"/>
      <c r="F76" s="169" t="n"/>
      <c r="G76" s="169" t="n"/>
      <c r="H76" s="169" t="n"/>
      <c r="I76" s="169" t="n"/>
      <c r="J76" s="169" t="n"/>
      <c r="K76" s="169" t="n"/>
      <c r="L76" s="169" t="n"/>
      <c r="M76" s="169" t="n"/>
      <c r="N76" s="169" t="n"/>
      <c r="O76" s="169" t="n"/>
      <c r="P76" s="169" t="n"/>
      <c r="Q76" s="169" t="n"/>
      <c r="R76" s="169" t="n"/>
      <c r="S76" s="169" t="n"/>
      <c r="T76" s="169" t="n"/>
      <c r="U76" s="169" t="n"/>
      <c r="V76" s="169" t="n"/>
      <c r="W76" s="169" t="n"/>
      <c r="X76" s="169" t="n"/>
      <c r="Y76" s="169" t="n"/>
      <c r="Z76" s="169" t="n"/>
      <c r="AA76" s="169" t="n"/>
      <c r="AB76" s="169" t="n"/>
      <c r="AC76" s="169" t="n"/>
      <c r="AD76" s="169" t="n"/>
      <c r="AE76" s="169" t="n"/>
      <c r="AF76" s="169" t="n"/>
      <c r="AG76" s="169" t="n"/>
      <c r="AH76" s="169" t="n"/>
      <c r="AI76" s="169" t="n"/>
      <c r="AJ76" s="169" t="n"/>
      <c r="AK76" s="169" t="n"/>
      <c r="AL76" s="169" t="n"/>
      <c r="AM76" s="169" t="n"/>
      <c r="AN76" s="169" t="n"/>
      <c r="AO76" s="169" t="n"/>
      <c r="AP76" s="169" t="n"/>
      <c r="AQ76" s="169" t="n"/>
      <c r="AR76" s="169" t="n"/>
      <c r="AS76" s="169" t="n"/>
      <c r="AT76" s="169" t="n"/>
      <c r="AU76" s="169" t="n"/>
      <c r="AV76" s="169" t="n"/>
      <c r="AW76" s="169" t="n"/>
      <c r="AX76" s="169" t="n"/>
      <c r="AY76" s="169" t="n"/>
      <c r="AZ76" s="169" t="n"/>
      <c r="BA76" s="169" t="n"/>
      <c r="BB76" s="169" t="n"/>
      <c r="BC76" s="169" t="n"/>
      <c r="BD76" s="169" t="n"/>
      <c r="BE76" s="169" t="n"/>
      <c r="BF76" s="169" t="n"/>
      <c r="BG76" s="169" t="n"/>
      <c r="BH76" s="169" t="n"/>
      <c r="BI76" s="169" t="n"/>
      <c r="BJ76" s="169" t="n"/>
      <c r="BK76" s="169" t="n"/>
      <c r="BL76" s="169" t="n"/>
      <c r="BM76" s="169" t="n"/>
      <c r="BN76" s="169" t="n"/>
      <c r="BO76" s="169" t="n"/>
      <c r="BP76" s="169" t="n"/>
      <c r="BQ76" s="169" t="n"/>
      <c r="BR76" s="169" t="n"/>
      <c r="BS76" s="169" t="n"/>
      <c r="BT76" s="169" t="n"/>
      <c r="BU76" s="169" t="n"/>
      <c r="BV76" s="169" t="n"/>
      <c r="BW76" s="169" t="n"/>
      <c r="BX76" s="169" t="n"/>
      <c r="BY76" s="169" t="n"/>
      <c r="BZ76" s="169" t="n"/>
      <c r="CA76" s="169" t="n"/>
      <c r="CB76" s="169" t="n"/>
      <c r="CC76" s="169" t="n"/>
      <c r="CD76" s="169" t="n"/>
    </row>
    <row r="77">
      <c r="A77" s="83" t="n"/>
      <c r="B77" s="169" t="n"/>
      <c r="C77" s="169" t="n"/>
      <c r="D77" s="169" t="n"/>
      <c r="E77" s="169" t="n"/>
      <c r="F77" s="169" t="n"/>
      <c r="G77" s="169" t="n"/>
      <c r="H77" s="169" t="n"/>
      <c r="I77" s="169" t="n"/>
      <c r="J77" s="169" t="n"/>
      <c r="K77" s="169" t="n"/>
      <c r="L77" s="169" t="n"/>
      <c r="M77" s="169" t="n"/>
      <c r="N77" s="169" t="n"/>
      <c r="O77" s="169" t="n"/>
      <c r="P77" s="169" t="n"/>
      <c r="Q77" s="169" t="n"/>
      <c r="R77" s="169" t="n"/>
      <c r="S77" s="169" t="n"/>
      <c r="T77" s="169" t="n"/>
      <c r="U77" s="169" t="n"/>
      <c r="V77" s="169" t="n"/>
      <c r="W77" s="169" t="n"/>
      <c r="X77" s="169" t="n"/>
      <c r="Y77" s="169" t="n"/>
      <c r="Z77" s="169" t="n"/>
      <c r="AA77" s="169" t="n"/>
      <c r="AB77" s="169" t="n"/>
      <c r="AC77" s="169" t="n"/>
      <c r="AD77" s="169" t="n"/>
      <c r="AE77" s="169" t="n"/>
      <c r="AF77" s="169" t="n"/>
      <c r="AG77" s="169" t="n"/>
      <c r="AH77" s="169" t="n"/>
      <c r="AI77" s="169" t="n"/>
      <c r="AJ77" s="169" t="n"/>
      <c r="AK77" s="169" t="n"/>
      <c r="AL77" s="169" t="n"/>
      <c r="AM77" s="169" t="n"/>
      <c r="AN77" s="169" t="n"/>
      <c r="AO77" s="169" t="n"/>
      <c r="AP77" s="169" t="n"/>
      <c r="AQ77" s="169" t="n"/>
      <c r="AR77" s="169" t="n"/>
      <c r="AS77" s="169" t="n"/>
      <c r="AT77" s="169" t="n"/>
      <c r="AU77" s="169" t="n"/>
      <c r="AV77" s="169" t="n"/>
      <c r="AW77" s="169" t="n"/>
      <c r="AX77" s="169" t="n"/>
      <c r="AY77" s="169" t="n"/>
      <c r="AZ77" s="169" t="n"/>
      <c r="BA77" s="169" t="n"/>
      <c r="BB77" s="169" t="n"/>
      <c r="BC77" s="169" t="n"/>
      <c r="BD77" s="169" t="n"/>
      <c r="BE77" s="169" t="n"/>
      <c r="BF77" s="169" t="n"/>
      <c r="BG77" s="169" t="n"/>
      <c r="BH77" s="169" t="n"/>
      <c r="BI77" s="169" t="n"/>
      <c r="BJ77" s="169" t="n"/>
      <c r="BK77" s="169" t="n"/>
      <c r="BL77" s="169" t="n"/>
      <c r="BM77" s="169" t="n"/>
      <c r="BN77" s="169" t="n"/>
      <c r="BO77" s="169" t="n"/>
      <c r="BP77" s="169" t="n"/>
      <c r="BQ77" s="169" t="n"/>
      <c r="BR77" s="169" t="n"/>
      <c r="BS77" s="169" t="n"/>
      <c r="BT77" s="169" t="n"/>
      <c r="BU77" s="169" t="n"/>
      <c r="BV77" s="169" t="n"/>
      <c r="BW77" s="169" t="n"/>
      <c r="BX77" s="169" t="n"/>
      <c r="BY77" s="169" t="n"/>
      <c r="BZ77" s="169" t="n"/>
      <c r="CA77" s="169" t="n"/>
      <c r="CB77" s="169" t="n"/>
      <c r="CC77" s="169" t="n"/>
      <c r="CD77" s="169" t="n"/>
    </row>
    <row r="78">
      <c r="A78" s="83" t="n"/>
      <c r="B78" s="169" t="n"/>
      <c r="C78" s="169" t="n"/>
      <c r="D78" s="169" t="n"/>
      <c r="E78" s="169" t="n"/>
      <c r="F78" s="169" t="n"/>
      <c r="G78" s="169" t="n"/>
      <c r="H78" s="169" t="n"/>
      <c r="I78" s="169" t="n"/>
      <c r="J78" s="169" t="n"/>
      <c r="K78" s="169" t="n"/>
      <c r="L78" s="169" t="n"/>
      <c r="M78" s="169" t="n"/>
      <c r="N78" s="169" t="n"/>
      <c r="O78" s="169" t="n"/>
      <c r="P78" s="169" t="n"/>
      <c r="Q78" s="169" t="n"/>
      <c r="R78" s="169" t="n"/>
      <c r="S78" s="169" t="n"/>
      <c r="T78" s="169" t="n"/>
      <c r="U78" s="169" t="n"/>
      <c r="V78" s="169" t="n"/>
      <c r="W78" s="169" t="n"/>
      <c r="X78" s="169" t="n"/>
      <c r="Y78" s="169" t="n"/>
      <c r="Z78" s="169" t="n"/>
      <c r="AA78" s="169" t="n"/>
      <c r="AB78" s="169" t="n"/>
      <c r="AC78" s="169" t="n"/>
      <c r="AD78" s="169" t="n"/>
      <c r="AE78" s="169" t="n"/>
      <c r="AF78" s="169" t="n"/>
      <c r="AG78" s="169" t="n"/>
      <c r="AH78" s="169" t="n"/>
      <c r="AI78" s="169" t="n"/>
      <c r="AJ78" s="169" t="n"/>
      <c r="AK78" s="169" t="n"/>
      <c r="AL78" s="169" t="n"/>
      <c r="AM78" s="169" t="n"/>
      <c r="AN78" s="169" t="n"/>
      <c r="AO78" s="169" t="n"/>
      <c r="AP78" s="169" t="n"/>
      <c r="AQ78" s="169" t="n"/>
      <c r="AR78" s="169" t="n"/>
      <c r="AS78" s="169" t="n"/>
      <c r="AT78" s="169" t="n"/>
      <c r="AU78" s="169" t="n"/>
      <c r="AV78" s="169" t="n"/>
      <c r="AW78" s="169" t="n"/>
      <c r="AX78" s="169" t="n"/>
      <c r="AY78" s="169" t="n"/>
      <c r="AZ78" s="169" t="n"/>
      <c r="BA78" s="169" t="n"/>
      <c r="BB78" s="169" t="n"/>
      <c r="BC78" s="169" t="n"/>
      <c r="BD78" s="169" t="n"/>
      <c r="BE78" s="169" t="n"/>
      <c r="BF78" s="169" t="n"/>
      <c r="BG78" s="169" t="n"/>
      <c r="BH78" s="169" t="n"/>
      <c r="BI78" s="169" t="n"/>
      <c r="BJ78" s="169" t="n"/>
      <c r="BK78" s="169" t="n"/>
      <c r="BL78" s="169" t="n"/>
      <c r="BM78" s="169" t="n"/>
      <c r="BN78" s="169" t="n"/>
      <c r="BO78" s="169" t="n"/>
      <c r="BP78" s="169" t="n"/>
      <c r="BQ78" s="169" t="n"/>
      <c r="BR78" s="169" t="n"/>
      <c r="BS78" s="169" t="n"/>
      <c r="BT78" s="169" t="n"/>
      <c r="BU78" s="169" t="n"/>
      <c r="BV78" s="169" t="n"/>
      <c r="BW78" s="169" t="n"/>
      <c r="BX78" s="169" t="n"/>
      <c r="BY78" s="169" t="n"/>
      <c r="BZ78" s="169" t="n"/>
      <c r="CA78" s="169" t="n"/>
      <c r="CB78" s="169" t="n"/>
      <c r="CC78" s="169" t="n"/>
      <c r="CD78" s="169" t="n"/>
    </row>
    <row r="79">
      <c r="A79" s="83" t="n"/>
      <c r="B79" s="169" t="n"/>
      <c r="C79" s="169" t="n"/>
      <c r="D79" s="169" t="n"/>
      <c r="E79" s="169" t="n"/>
      <c r="F79" s="169" t="n"/>
      <c r="G79" s="169" t="n"/>
      <c r="H79" s="169" t="n"/>
      <c r="I79" s="169" t="n"/>
      <c r="J79" s="169" t="n"/>
      <c r="K79" s="169" t="n"/>
      <c r="L79" s="169" t="n"/>
      <c r="M79" s="169" t="n"/>
      <c r="N79" s="169" t="n"/>
      <c r="O79" s="169" t="n"/>
      <c r="P79" s="169" t="n"/>
      <c r="Q79" s="169" t="n"/>
      <c r="R79" s="169" t="n"/>
      <c r="S79" s="169" t="n"/>
      <c r="T79" s="169" t="n"/>
      <c r="U79" s="169" t="n"/>
      <c r="V79" s="169" t="n"/>
      <c r="W79" s="169" t="n"/>
      <c r="X79" s="169" t="n"/>
      <c r="Y79" s="169" t="n"/>
      <c r="Z79" s="169" t="n"/>
      <c r="AA79" s="169" t="n"/>
      <c r="AB79" s="169" t="n"/>
      <c r="AC79" s="169" t="n"/>
      <c r="AD79" s="169" t="n"/>
      <c r="AE79" s="169" t="n"/>
      <c r="AF79" s="169" t="n"/>
      <c r="AG79" s="169" t="n"/>
      <c r="AH79" s="169" t="n"/>
      <c r="AI79" s="169" t="n"/>
      <c r="AJ79" s="169" t="n"/>
      <c r="AK79" s="169" t="n"/>
      <c r="AL79" s="169" t="n"/>
      <c r="AM79" s="169" t="n"/>
      <c r="AN79" s="169" t="n"/>
      <c r="AO79" s="169" t="n"/>
      <c r="AP79" s="169" t="n"/>
      <c r="AQ79" s="169" t="n"/>
      <c r="AR79" s="169" t="n"/>
      <c r="AS79" s="169" t="n"/>
      <c r="AT79" s="169" t="n"/>
      <c r="AU79" s="169" t="n"/>
      <c r="AV79" s="169" t="n"/>
      <c r="AW79" s="169" t="n"/>
      <c r="AX79" s="169" t="n"/>
      <c r="AY79" s="169" t="n"/>
      <c r="AZ79" s="169" t="n"/>
      <c r="BA79" s="169" t="n"/>
      <c r="BB79" s="169" t="n"/>
      <c r="BC79" s="169" t="n"/>
      <c r="BD79" s="169" t="n"/>
      <c r="BE79" s="169" t="n"/>
      <c r="BF79" s="169" t="n"/>
      <c r="BG79" s="169" t="n"/>
      <c r="BH79" s="169" t="n"/>
      <c r="BI79" s="169" t="n"/>
      <c r="BJ79" s="169" t="n"/>
      <c r="BK79" s="169" t="n"/>
      <c r="BL79" s="169" t="n"/>
      <c r="BM79" s="169" t="n"/>
      <c r="BN79" s="169" t="n"/>
      <c r="BO79" s="169" t="n"/>
      <c r="BP79" s="169" t="n"/>
      <c r="BQ79" s="169" t="n"/>
      <c r="BR79" s="169" t="n"/>
      <c r="BS79" s="169" t="n"/>
      <c r="BT79" s="169" t="n"/>
      <c r="BU79" s="169" t="n"/>
      <c r="BV79" s="169" t="n"/>
      <c r="BW79" s="169" t="n"/>
      <c r="BX79" s="169" t="n"/>
      <c r="BY79" s="169" t="n"/>
      <c r="BZ79" s="169" t="n"/>
      <c r="CA79" s="169" t="n"/>
      <c r="CB79" s="169" t="n"/>
      <c r="CC79" s="169" t="n"/>
      <c r="CD79" s="169" t="n"/>
    </row>
    <row r="80">
      <c r="A80" s="83" t="n"/>
      <c r="B80" s="169" t="n"/>
      <c r="C80" s="169" t="n"/>
      <c r="D80" s="169" t="n"/>
      <c r="E80" s="169" t="n"/>
      <c r="F80" s="169" t="n"/>
      <c r="G80" s="169" t="n"/>
      <c r="H80" s="169" t="n"/>
      <c r="I80" s="169" t="n"/>
      <c r="J80" s="169" t="n"/>
      <c r="K80" s="169" t="n"/>
      <c r="L80" s="169" t="n"/>
      <c r="M80" s="169" t="n"/>
      <c r="N80" s="169" t="n"/>
      <c r="O80" s="169" t="n"/>
      <c r="P80" s="169" t="n"/>
      <c r="Q80" s="169" t="n"/>
      <c r="R80" s="169" t="n"/>
      <c r="S80" s="169" t="n"/>
      <c r="T80" s="169" t="n"/>
      <c r="U80" s="169" t="n"/>
      <c r="V80" s="169" t="n"/>
      <c r="W80" s="169" t="n"/>
      <c r="X80" s="169" t="n"/>
      <c r="Y80" s="169" t="n"/>
      <c r="Z80" s="169" t="n"/>
      <c r="AA80" s="169" t="n"/>
      <c r="AB80" s="169" t="n"/>
      <c r="AC80" s="169" t="n"/>
      <c r="AD80" s="169" t="n"/>
      <c r="AE80" s="169" t="n"/>
      <c r="AF80" s="169" t="n"/>
      <c r="AG80" s="169" t="n"/>
      <c r="AH80" s="169" t="n"/>
      <c r="AI80" s="169" t="n"/>
      <c r="AJ80" s="169" t="n"/>
      <c r="AK80" s="169" t="n"/>
      <c r="AL80" s="169" t="n"/>
      <c r="AM80" s="169" t="n"/>
      <c r="AN80" s="169" t="n"/>
      <c r="AO80" s="169" t="n"/>
      <c r="AP80" s="169" t="n"/>
      <c r="AQ80" s="169" t="n"/>
      <c r="AR80" s="169" t="n"/>
      <c r="AS80" s="169" t="n"/>
      <c r="AT80" s="169" t="n"/>
      <c r="AU80" s="169" t="n"/>
      <c r="AV80" s="169" t="n"/>
      <c r="AW80" s="169" t="n"/>
      <c r="AX80" s="169" t="n"/>
      <c r="AY80" s="169" t="n"/>
      <c r="AZ80" s="169" t="n"/>
      <c r="BA80" s="169" t="n"/>
      <c r="BB80" s="169" t="n"/>
      <c r="BC80" s="169" t="n"/>
      <c r="BD80" s="169" t="n"/>
      <c r="BE80" s="169" t="n"/>
      <c r="BF80" s="169" t="n"/>
      <c r="BG80" s="169" t="n"/>
      <c r="BH80" s="169" t="n"/>
      <c r="BI80" s="169" t="n"/>
      <c r="BJ80" s="169" t="n"/>
      <c r="BK80" s="169" t="n"/>
      <c r="BL80" s="169" t="n"/>
      <c r="BM80" s="169" t="n"/>
      <c r="BN80" s="169" t="n"/>
      <c r="BO80" s="169" t="n"/>
      <c r="BP80" s="169" t="n"/>
      <c r="BQ80" s="169" t="n"/>
      <c r="BR80" s="169" t="n"/>
      <c r="BS80" s="169" t="n"/>
      <c r="BT80" s="169" t="n"/>
      <c r="BU80" s="169" t="n"/>
      <c r="BV80" s="169" t="n"/>
      <c r="BW80" s="169" t="n"/>
      <c r="BX80" s="169" t="n"/>
      <c r="BY80" s="169" t="n"/>
      <c r="BZ80" s="169" t="n"/>
      <c r="CA80" s="169" t="n"/>
      <c r="CB80" s="169" t="n"/>
      <c r="CC80" s="169" t="n"/>
      <c r="CD80" s="169" t="n"/>
    </row>
    <row r="81">
      <c r="A81" s="83" t="n"/>
      <c r="B81" s="169" t="n"/>
      <c r="C81" s="169" t="n"/>
      <c r="D81" s="169" t="n"/>
      <c r="E81" s="169" t="n"/>
      <c r="F81" s="169" t="n"/>
      <c r="G81" s="169" t="n"/>
      <c r="H81" s="169" t="n"/>
      <c r="I81" s="169" t="n"/>
      <c r="J81" s="169" t="n"/>
      <c r="K81" s="169" t="n"/>
      <c r="L81" s="169" t="n"/>
      <c r="M81" s="169" t="n"/>
      <c r="N81" s="169" t="n"/>
      <c r="O81" s="169" t="n"/>
      <c r="P81" s="169" t="n"/>
      <c r="Q81" s="169" t="n"/>
      <c r="R81" s="169" t="n"/>
      <c r="S81" s="169" t="n"/>
      <c r="T81" s="169" t="n"/>
      <c r="U81" s="169" t="n"/>
      <c r="V81" s="169" t="n"/>
      <c r="W81" s="169" t="n"/>
      <c r="X81" s="169" t="n"/>
      <c r="Y81" s="169" t="n"/>
      <c r="Z81" s="169" t="n"/>
      <c r="AA81" s="169" t="n"/>
      <c r="AB81" s="169" t="n"/>
      <c r="AC81" s="169" t="n"/>
      <c r="AD81" s="169" t="n"/>
      <c r="AE81" s="169" t="n"/>
      <c r="AF81" s="169" t="n"/>
      <c r="AG81" s="169" t="n"/>
      <c r="AH81" s="169" t="n"/>
      <c r="AI81" s="169" t="n"/>
      <c r="AJ81" s="169" t="n"/>
      <c r="AK81" s="169" t="n"/>
      <c r="AL81" s="169" t="n"/>
      <c r="AM81" s="169" t="n"/>
      <c r="AN81" s="169" t="n"/>
      <c r="AO81" s="169" t="n"/>
      <c r="AP81" s="169" t="n"/>
      <c r="AQ81" s="169" t="n"/>
      <c r="AR81" s="169" t="n"/>
      <c r="AS81" s="169" t="n"/>
      <c r="AT81" s="169" t="n"/>
      <c r="AU81" s="169" t="n"/>
      <c r="AV81" s="169" t="n"/>
      <c r="AW81" s="169" t="n"/>
      <c r="AX81" s="169" t="n"/>
      <c r="AY81" s="169" t="n"/>
      <c r="AZ81" s="169" t="n"/>
      <c r="BA81" s="169" t="n"/>
      <c r="BB81" s="169" t="n"/>
      <c r="BC81" s="169" t="n"/>
      <c r="BD81" s="169" t="n"/>
      <c r="BE81" s="169" t="n"/>
      <c r="BF81" s="169" t="n"/>
      <c r="BG81" s="169" t="n"/>
      <c r="BH81" s="169" t="n"/>
      <c r="BI81" s="169" t="n"/>
      <c r="BJ81" s="169" t="n"/>
      <c r="BK81" s="169" t="n"/>
      <c r="BL81" s="169" t="n"/>
      <c r="BM81" s="169" t="n"/>
      <c r="BN81" s="169" t="n"/>
      <c r="BO81" s="169" t="n"/>
      <c r="BP81" s="169" t="n"/>
      <c r="BQ81" s="169" t="n"/>
      <c r="BR81" s="169" t="n"/>
      <c r="BS81" s="169" t="n"/>
      <c r="BT81" s="169" t="n"/>
      <c r="BU81" s="169" t="n"/>
      <c r="BV81" s="169" t="n"/>
      <c r="BW81" s="169" t="n"/>
      <c r="BX81" s="169" t="n"/>
      <c r="BY81" s="169" t="n"/>
      <c r="BZ81" s="169" t="n"/>
      <c r="CA81" s="169" t="n"/>
      <c r="CB81" s="169" t="n"/>
      <c r="CC81" s="169" t="n"/>
      <c r="CD81" s="169" t="n"/>
    </row>
    <row r="82">
      <c r="A82" s="83" t="n"/>
      <c r="B82" s="169" t="n"/>
      <c r="C82" s="307" t="n"/>
      <c r="D82" s="307" t="n"/>
      <c r="E82" s="307" t="n"/>
      <c r="F82" s="307" t="n"/>
      <c r="G82" s="307" t="n"/>
      <c r="H82" s="307" t="n"/>
      <c r="I82" s="307" t="n"/>
      <c r="J82" s="307" t="n"/>
      <c r="K82" s="308" t="n"/>
      <c r="L82" s="169" t="n"/>
      <c r="M82" s="169" t="n"/>
      <c r="N82" s="169" t="n"/>
      <c r="O82" s="169" t="n"/>
      <c r="P82" s="169" t="n"/>
      <c r="Q82" s="169" t="n"/>
      <c r="R82" s="169" t="n"/>
      <c r="S82" s="169" t="n"/>
      <c r="T82" s="169" t="n"/>
      <c r="U82" s="169" t="n"/>
      <c r="V82" s="169" t="n"/>
      <c r="W82" s="169" t="n"/>
      <c r="X82" s="169" t="n"/>
      <c r="Y82" s="169" t="n"/>
      <c r="Z82" s="169" t="n"/>
      <c r="AA82" s="169" t="n"/>
      <c r="AB82" s="169" t="n"/>
      <c r="AC82" s="169" t="n"/>
      <c r="AD82" s="169" t="n"/>
      <c r="AE82" s="169" t="n"/>
      <c r="AF82" s="169" t="n"/>
      <c r="AG82" s="169" t="n"/>
      <c r="AH82" s="169" t="n"/>
      <c r="AI82" s="169" t="n"/>
      <c r="AJ82" s="169" t="n"/>
      <c r="AK82" s="169" t="n"/>
      <c r="AL82" s="169" t="n"/>
      <c r="AM82" s="169" t="n"/>
      <c r="AN82" s="169" t="n"/>
      <c r="AO82" s="169" t="n"/>
      <c r="AP82" s="169" t="n"/>
      <c r="AQ82" s="169" t="n"/>
      <c r="AR82" s="169" t="n"/>
      <c r="AS82" s="169" t="n"/>
      <c r="AT82" s="169" t="n"/>
      <c r="AU82" s="169" t="n"/>
      <c r="AV82" s="169" t="n"/>
      <c r="AW82" s="169" t="n"/>
      <c r="AX82" s="169" t="n"/>
      <c r="AY82" s="169" t="n"/>
      <c r="AZ82" s="169" t="n"/>
      <c r="BA82" s="169" t="n"/>
      <c r="BB82" s="169" t="n"/>
      <c r="BC82" s="169" t="n"/>
      <c r="BD82" s="169" t="n"/>
      <c r="BE82" s="169" t="n"/>
      <c r="BF82" s="169" t="n"/>
      <c r="BG82" s="169" t="n"/>
      <c r="BH82" s="169" t="n"/>
      <c r="BI82" s="169" t="n"/>
      <c r="BJ82" s="169" t="n"/>
      <c r="BK82" s="169" t="n"/>
      <c r="BL82" s="169" t="n"/>
      <c r="BM82" s="169" t="n"/>
      <c r="BN82" s="169" t="n"/>
      <c r="BO82" s="169" t="n"/>
      <c r="BP82" s="169" t="n"/>
      <c r="BQ82" s="169" t="n"/>
      <c r="BR82" s="169" t="n"/>
      <c r="BS82" s="169" t="n"/>
      <c r="BT82" s="169" t="n"/>
      <c r="BU82" s="169" t="n"/>
      <c r="BV82" s="169" t="n"/>
      <c r="BW82" s="169" t="n"/>
      <c r="BX82" s="169" t="n"/>
      <c r="BY82" s="169" t="n"/>
      <c r="BZ82" s="169" t="n"/>
      <c r="CA82" s="169" t="n"/>
      <c r="CB82" s="169" t="n"/>
      <c r="CC82" s="169" t="n"/>
      <c r="CD82" s="169" t="n"/>
    </row>
    <row r="83">
      <c r="A83" s="83" t="n"/>
      <c r="B83" s="309" t="n"/>
      <c r="C83" s="310" t="n"/>
      <c r="D83" s="310" t="n"/>
      <c r="E83" s="310" t="n"/>
      <c r="F83" s="310" t="n"/>
      <c r="G83" s="310" t="n"/>
      <c r="H83" s="310" t="n"/>
      <c r="I83" s="310" t="n"/>
      <c r="J83" s="310" t="n"/>
      <c r="K83" s="311" t="n"/>
      <c r="L83" s="169" t="n"/>
      <c r="M83" s="169" t="n"/>
      <c r="N83" s="169" t="n"/>
      <c r="O83" s="169" t="n"/>
      <c r="P83" s="169" t="n"/>
      <c r="Q83" s="169" t="n"/>
      <c r="R83" s="169" t="n"/>
      <c r="S83" s="169" t="n"/>
      <c r="T83" s="169" t="n"/>
      <c r="U83" s="169" t="n"/>
      <c r="V83" s="169" t="n"/>
      <c r="W83" s="169" t="n"/>
      <c r="X83" s="169" t="n"/>
      <c r="Y83" s="169" t="n"/>
      <c r="Z83" s="169" t="n"/>
      <c r="AA83" s="169" t="n"/>
      <c r="AB83" s="169" t="n"/>
      <c r="AC83" s="169" t="n"/>
      <c r="AD83" s="169" t="n"/>
      <c r="AE83" s="169" t="n"/>
      <c r="AF83" s="169" t="n"/>
      <c r="AG83" s="169" t="n"/>
      <c r="AH83" s="169" t="n"/>
      <c r="AI83" s="169" t="n"/>
      <c r="AJ83" s="169" t="n"/>
      <c r="AK83" s="169" t="n"/>
      <c r="AL83" s="169" t="n"/>
      <c r="AM83" s="169" t="n"/>
      <c r="AN83" s="169" t="n"/>
      <c r="AO83" s="169" t="n"/>
      <c r="AP83" s="169" t="n"/>
      <c r="AQ83" s="169" t="n"/>
      <c r="AR83" s="169" t="n"/>
      <c r="AS83" s="169" t="n"/>
      <c r="AT83" s="169" t="n"/>
      <c r="AU83" s="169" t="n"/>
      <c r="AV83" s="169" t="n"/>
      <c r="AW83" s="169" t="n"/>
      <c r="AX83" s="169" t="n"/>
      <c r="AY83" s="169" t="n"/>
      <c r="AZ83" s="169" t="n"/>
      <c r="BA83" s="169" t="n"/>
      <c r="BB83" s="169" t="n"/>
      <c r="BC83" s="169" t="n"/>
      <c r="BD83" s="169" t="n"/>
      <c r="BE83" s="169" t="n"/>
      <c r="BF83" s="169" t="n"/>
      <c r="BG83" s="169" t="n"/>
      <c r="BH83" s="169" t="n"/>
      <c r="BI83" s="169" t="n"/>
      <c r="BJ83" s="169" t="n"/>
      <c r="BK83" s="169" t="n"/>
      <c r="BL83" s="169" t="n"/>
      <c r="BM83" s="169" t="n"/>
      <c r="BN83" s="169" t="n"/>
      <c r="BO83" s="169" t="n"/>
      <c r="BP83" s="169" t="n"/>
      <c r="BQ83" s="169" t="n"/>
      <c r="BR83" s="169" t="n"/>
      <c r="BS83" s="169" t="n"/>
      <c r="BT83" s="169" t="n"/>
      <c r="BU83" s="169" t="n"/>
      <c r="BV83" s="169" t="n"/>
      <c r="BW83" s="169" t="n"/>
      <c r="BX83" s="169" t="n"/>
      <c r="BY83" s="169" t="n"/>
      <c r="BZ83" s="169" t="n"/>
      <c r="CA83" s="169" t="n"/>
      <c r="CB83" s="169" t="n"/>
      <c r="CC83" s="169" t="n"/>
      <c r="CD83" s="169" t="n"/>
    </row>
    <row r="84">
      <c r="A84" s="83" t="n"/>
      <c r="B84" s="169" t="n"/>
      <c r="C84" s="169" t="n"/>
      <c r="D84" s="141" t="n"/>
      <c r="E84" s="141" t="n"/>
      <c r="F84" s="141" t="n"/>
      <c r="G84" s="141" t="n"/>
      <c r="H84" s="141" t="n"/>
      <c r="I84" s="141" t="n"/>
      <c r="J84" s="141" t="n"/>
      <c r="K84" s="312" t="n"/>
      <c r="L84" s="313" t="n"/>
      <c r="M84" s="141" t="n"/>
      <c r="N84" s="141" t="n"/>
      <c r="O84" s="141" t="n"/>
      <c r="P84" s="141" t="n"/>
      <c r="Q84" s="141" t="n"/>
      <c r="R84" s="141" t="n"/>
      <c r="S84" s="141" t="n"/>
      <c r="T84" s="141" t="n"/>
      <c r="U84" s="141" t="n"/>
      <c r="V84" s="141" t="n"/>
      <c r="W84" s="141" t="n"/>
      <c r="X84" s="141" t="n"/>
      <c r="Y84" s="141" t="n"/>
      <c r="Z84" s="141" t="n"/>
      <c r="AA84" s="141" t="n"/>
      <c r="AB84" s="141" t="n"/>
      <c r="AC84" s="141" t="n"/>
      <c r="AD84" s="141" t="n"/>
      <c r="AE84" s="141" t="n"/>
      <c r="AF84" s="141" t="n"/>
      <c r="AG84" s="141" t="n"/>
      <c r="AH84" s="141" t="n"/>
      <c r="AI84" s="141" t="n"/>
      <c r="AJ84" s="141" t="n"/>
      <c r="AK84" s="141" t="n"/>
      <c r="AL84" s="141" t="n"/>
      <c r="AM84" s="141" t="n"/>
      <c r="AN84" s="141" t="n"/>
      <c r="AO84" s="141" t="n"/>
      <c r="AP84" s="141" t="n"/>
      <c r="AQ84" s="141" t="n"/>
      <c r="AR84" s="141" t="n"/>
      <c r="AS84" s="141" t="n"/>
      <c r="AT84" s="141" t="n"/>
      <c r="AU84" s="141" t="n"/>
      <c r="AV84" s="141" t="n"/>
      <c r="AW84" s="141" t="n"/>
      <c r="AX84" s="141" t="n"/>
      <c r="AY84" s="141" t="n"/>
      <c r="AZ84" s="141" t="n"/>
      <c r="BA84" s="141" t="n"/>
      <c r="BB84" s="141" t="n"/>
      <c r="BC84" s="141" t="n"/>
      <c r="BD84" s="141" t="n"/>
      <c r="BE84" s="141" t="n"/>
      <c r="BF84" s="141" t="n"/>
      <c r="BG84" s="141" t="n"/>
      <c r="BH84" s="141" t="n"/>
      <c r="BI84" s="141" t="n"/>
      <c r="BJ84" s="141" t="n"/>
      <c r="BK84" s="141" t="n"/>
      <c r="BL84" s="141" t="n"/>
      <c r="BM84" s="141" t="n"/>
      <c r="BN84" s="141" t="n"/>
      <c r="BO84" s="141" t="n"/>
      <c r="BP84" s="141" t="n"/>
      <c r="BQ84" s="141" t="n"/>
      <c r="BR84" s="141" t="n"/>
      <c r="BS84" s="141" t="n"/>
      <c r="BT84" s="141" t="n"/>
      <c r="BU84" s="141" t="n"/>
      <c r="BV84" s="141" t="n"/>
      <c r="BW84" s="141" t="n"/>
      <c r="BX84" s="141" t="n"/>
      <c r="BY84" s="141" t="n"/>
      <c r="BZ84" s="141" t="n"/>
      <c r="CA84" s="141" t="n"/>
      <c r="CB84" s="141" t="n"/>
      <c r="CC84" s="141" t="n"/>
      <c r="CD84" s="169" t="n"/>
    </row>
    <row r="85">
      <c r="A85" s="83" t="n"/>
      <c r="B85" s="169" t="n"/>
      <c r="C85" s="142" t="n"/>
      <c r="D85" s="249" t="n"/>
      <c r="E85" s="231" t="n"/>
      <c r="F85" s="231" t="n"/>
      <c r="G85" s="231" t="n"/>
      <c r="H85" s="231" t="n"/>
      <c r="I85" s="231" t="n"/>
      <c r="J85" s="231" t="n"/>
      <c r="K85" s="231" t="n"/>
      <c r="L85" s="231" t="n"/>
      <c r="M85" s="231" t="n"/>
      <c r="N85" s="231" t="n"/>
      <c r="O85" s="231" t="n"/>
      <c r="P85" s="231" t="n"/>
      <c r="Q85" s="231" t="n"/>
      <c r="R85" s="231" t="n"/>
      <c r="S85" s="231" t="n"/>
      <c r="T85" s="231" t="n"/>
      <c r="U85" s="231" t="n"/>
      <c r="V85" s="231" t="n"/>
      <c r="W85" s="231" t="n"/>
      <c r="X85" s="231" t="n"/>
      <c r="Y85" s="231" t="n"/>
      <c r="Z85" s="231" t="n"/>
      <c r="AA85" s="231" t="n"/>
      <c r="AB85" s="231" t="n"/>
      <c r="AC85" s="231" t="n"/>
      <c r="AD85" s="231" t="n"/>
      <c r="AE85" s="231" t="n"/>
      <c r="AF85" s="231" t="n"/>
      <c r="AG85" s="231" t="n"/>
      <c r="AH85" s="231" t="n"/>
      <c r="AI85" s="231" t="n"/>
      <c r="AJ85" s="231" t="n"/>
      <c r="AK85" s="231" t="n"/>
      <c r="AL85" s="231" t="n"/>
      <c r="AM85" s="231" t="n"/>
      <c r="AN85" s="231" t="n"/>
      <c r="AO85" s="231" t="n"/>
      <c r="AP85" s="231" t="n"/>
      <c r="AQ85" s="231" t="n"/>
      <c r="AR85" s="231" t="n"/>
      <c r="AS85" s="231" t="n"/>
      <c r="AT85" s="231" t="n"/>
      <c r="AU85" s="231" t="n"/>
      <c r="AV85" s="231" t="n"/>
      <c r="AW85" s="231" t="n"/>
      <c r="AX85" s="231" t="n"/>
      <c r="AY85" s="231" t="n"/>
      <c r="AZ85" s="231" t="n"/>
      <c r="BA85" s="231" t="n"/>
      <c r="BB85" s="231" t="n"/>
      <c r="BC85" s="231" t="n"/>
      <c r="BD85" s="231" t="n"/>
      <c r="BE85" s="231" t="n"/>
      <c r="BF85" s="231" t="n"/>
      <c r="BG85" s="231" t="n"/>
      <c r="BH85" s="231" t="n"/>
      <c r="BI85" s="231" t="n"/>
      <c r="BJ85" s="231" t="n"/>
      <c r="BK85" s="231" t="n"/>
      <c r="BL85" s="231" t="n"/>
      <c r="BM85" s="231" t="n"/>
      <c r="BN85" s="231" t="n"/>
      <c r="BO85" s="231" t="n"/>
      <c r="BP85" s="231" t="n"/>
      <c r="BQ85" s="231" t="n"/>
      <c r="BR85" s="231" t="n"/>
      <c r="BS85" s="231" t="n"/>
      <c r="BT85" s="231" t="n"/>
      <c r="BU85" s="231" t="n"/>
      <c r="BV85" s="231" t="n"/>
      <c r="BW85" s="231" t="n"/>
      <c r="BX85" s="231" t="n"/>
      <c r="BY85" s="231" t="n"/>
      <c r="BZ85" s="231" t="n"/>
      <c r="CA85" s="231" t="n"/>
      <c r="CB85" s="231" t="n"/>
      <c r="CC85" s="231" t="n"/>
      <c r="CD85" s="169" t="n"/>
    </row>
    <row r="86">
      <c r="A86" s="83" t="n"/>
      <c r="B86" s="169" t="n"/>
      <c r="C86" s="169" t="n"/>
      <c r="D86" s="167" t="n"/>
      <c r="E86" s="167" t="n"/>
      <c r="F86" s="167" t="n"/>
      <c r="G86" s="167" t="n"/>
      <c r="H86" s="167" t="n"/>
      <c r="I86" s="167" t="n"/>
      <c r="J86" s="167" t="n"/>
      <c r="K86" s="167" t="n"/>
      <c r="L86" s="167" t="n"/>
      <c r="M86" s="167" t="n"/>
      <c r="N86" s="167" t="n"/>
      <c r="O86" s="167" t="n"/>
      <c r="P86" s="167" t="n"/>
      <c r="Q86" s="167" t="n"/>
      <c r="R86" s="167" t="n"/>
      <c r="S86" s="167" t="n"/>
      <c r="T86" s="167" t="n"/>
      <c r="U86" s="167" t="n"/>
      <c r="V86" s="167" t="n"/>
      <c r="W86" s="167" t="n"/>
      <c r="X86" s="167" t="n"/>
      <c r="Y86" s="167" t="n"/>
      <c r="Z86" s="167" t="n"/>
      <c r="AA86" s="167" t="n"/>
      <c r="AB86" s="167" t="n"/>
      <c r="AC86" s="167" t="n"/>
      <c r="AD86" s="167" t="n"/>
      <c r="AE86" s="167" t="n"/>
      <c r="AF86" s="167" t="n"/>
      <c r="AG86" s="167" t="n"/>
      <c r="AH86" s="167" t="n"/>
      <c r="AI86" s="167" t="n"/>
      <c r="AJ86" s="167" t="n"/>
      <c r="AK86" s="167" t="n"/>
      <c r="AL86" s="167" t="n"/>
      <c r="AM86" s="167" t="n"/>
      <c r="AN86" s="167" t="n"/>
      <c r="AO86" s="167" t="n"/>
      <c r="AP86" s="167" t="n"/>
      <c r="AQ86" s="167" t="n"/>
      <c r="AR86" s="167" t="n"/>
      <c r="AS86" s="167" t="n"/>
      <c r="AT86" s="167" t="n"/>
      <c r="AU86" s="167" t="n"/>
      <c r="AV86" s="167" t="n"/>
      <c r="AW86" s="167" t="n"/>
      <c r="AX86" s="167" t="n"/>
      <c r="AY86" s="167" t="n"/>
      <c r="AZ86" s="167" t="n"/>
      <c r="BA86" s="167" t="n"/>
      <c r="BB86" s="167" t="n"/>
      <c r="BC86" s="167" t="n"/>
      <c r="BD86" s="167" t="n"/>
      <c r="BE86" s="167" t="n"/>
      <c r="BF86" s="167" t="n"/>
      <c r="BG86" s="167" t="n"/>
      <c r="BH86" s="167" t="n"/>
      <c r="BI86" s="167" t="n"/>
      <c r="BJ86" s="167" t="n"/>
      <c r="BK86" s="167" t="n"/>
      <c r="BL86" s="167" t="n"/>
      <c r="BM86" s="167" t="n"/>
      <c r="BN86" s="167" t="n"/>
      <c r="BO86" s="167" t="n"/>
      <c r="BP86" s="167" t="n"/>
      <c r="BQ86" s="167" t="n"/>
      <c r="BR86" s="167" t="n"/>
      <c r="BS86" s="167" t="n"/>
      <c r="BT86" s="167" t="n"/>
      <c r="BU86" s="167" t="n"/>
      <c r="BV86" s="167" t="n"/>
      <c r="BW86" s="167" t="n"/>
      <c r="BX86" s="167" t="n"/>
      <c r="BY86" s="167" t="n"/>
      <c r="BZ86" s="167" t="n"/>
      <c r="CA86" s="167" t="n"/>
      <c r="CB86" s="167" t="n"/>
      <c r="CC86" s="167" t="n"/>
      <c r="CD86" s="169" t="n"/>
    </row>
    <row r="87">
      <c r="A87" s="83" t="n"/>
      <c r="B87" s="169" t="n"/>
      <c r="C87" s="169" t="n"/>
      <c r="D87" s="169" t="n"/>
      <c r="E87" s="169" t="n"/>
      <c r="F87" s="169" t="n"/>
      <c r="G87" s="169" t="n"/>
      <c r="H87" s="169" t="n"/>
      <c r="I87" s="169" t="n"/>
      <c r="J87" s="169" t="n"/>
      <c r="K87" s="169" t="n"/>
      <c r="L87" s="169" t="n"/>
      <c r="M87" s="169" t="n"/>
      <c r="N87" s="169" t="n"/>
      <c r="O87" s="169" t="n"/>
      <c r="P87" s="169" t="n"/>
      <c r="Q87" s="169" t="n"/>
      <c r="R87" s="169" t="n"/>
      <c r="S87" s="169" t="n"/>
      <c r="T87" s="169" t="n"/>
      <c r="U87" s="169" t="n"/>
      <c r="V87" s="169" t="n"/>
      <c r="W87" s="169" t="n"/>
      <c r="X87" s="169" t="n"/>
      <c r="Y87" s="169" t="n"/>
      <c r="Z87" s="169" t="n"/>
      <c r="AA87" s="169" t="n"/>
      <c r="AB87" s="169" t="n"/>
      <c r="AC87" s="169" t="n"/>
      <c r="AD87" s="169" t="n"/>
      <c r="AE87" s="169" t="n"/>
      <c r="AF87" s="169" t="n"/>
      <c r="AG87" s="169" t="n"/>
      <c r="AH87" s="169" t="n"/>
      <c r="AI87" s="169" t="n"/>
      <c r="AJ87" s="169" t="n"/>
      <c r="AK87" s="169" t="n"/>
      <c r="AL87" s="169" t="n"/>
      <c r="AM87" s="169" t="n"/>
      <c r="AN87" s="169" t="n"/>
      <c r="AO87" s="169" t="n"/>
      <c r="AP87" s="169" t="n"/>
      <c r="AQ87" s="169" t="n"/>
      <c r="AR87" s="169" t="n"/>
      <c r="AS87" s="169" t="n"/>
      <c r="AT87" s="169" t="n"/>
      <c r="AU87" s="169" t="n"/>
      <c r="AV87" s="169" t="n"/>
      <c r="AW87" s="169" t="n"/>
      <c r="AX87" s="169" t="n"/>
      <c r="AY87" s="169" t="n"/>
      <c r="AZ87" s="169" t="n"/>
      <c r="BA87" s="169" t="n"/>
      <c r="BB87" s="169" t="n"/>
      <c r="BC87" s="169" t="n"/>
      <c r="BD87" s="169" t="n"/>
      <c r="BE87" s="169" t="n"/>
      <c r="BF87" s="169" t="n"/>
      <c r="BG87" s="169" t="n"/>
      <c r="BH87" s="169" t="n"/>
      <c r="BI87" s="169" t="n"/>
      <c r="BJ87" s="169" t="n"/>
      <c r="BK87" s="169" t="n"/>
      <c r="BL87" s="169" t="n"/>
      <c r="BM87" s="169" t="n"/>
      <c r="BN87" s="169" t="n"/>
      <c r="BO87" s="169" t="n"/>
      <c r="BP87" s="169" t="n"/>
      <c r="BQ87" s="169" t="n"/>
      <c r="BR87" s="169" t="n"/>
      <c r="BS87" s="169" t="n"/>
      <c r="BT87" s="169" t="n"/>
      <c r="BU87" s="169" t="n"/>
      <c r="BV87" s="169" t="n"/>
      <c r="BW87" s="169" t="n"/>
      <c r="BX87" s="169" t="n"/>
      <c r="BY87" s="169" t="n"/>
      <c r="BZ87" s="169" t="n"/>
      <c r="CA87" s="169" t="n"/>
      <c r="CB87" s="169" t="n"/>
      <c r="CC87" s="169" t="n"/>
      <c r="CD87" s="169" t="n"/>
    </row>
    <row r="88">
      <c r="A88" s="83" t="n"/>
      <c r="B88" s="169" t="n"/>
      <c r="C88" s="169" t="n"/>
      <c r="D88" s="169" t="n"/>
      <c r="E88" s="169" t="n"/>
      <c r="F88" s="169" t="n"/>
      <c r="G88" s="169" t="n"/>
      <c r="H88" s="169" t="n"/>
      <c r="I88" s="169" t="n"/>
      <c r="J88" s="169" t="n"/>
      <c r="K88" s="169" t="n"/>
      <c r="L88" s="169" t="n"/>
      <c r="M88" s="169" t="n"/>
      <c r="N88" s="169" t="n"/>
      <c r="O88" s="169" t="n"/>
      <c r="P88" s="169" t="n"/>
      <c r="Q88" s="169" t="n"/>
      <c r="R88" s="169" t="n"/>
      <c r="S88" s="169" t="n"/>
      <c r="T88" s="169" t="n"/>
      <c r="U88" s="169" t="n"/>
      <c r="V88" s="169" t="n"/>
      <c r="W88" s="169" t="n"/>
      <c r="X88" s="169" t="n"/>
      <c r="Y88" s="169" t="n"/>
      <c r="Z88" s="169" t="n"/>
      <c r="AA88" s="169" t="n"/>
      <c r="AB88" s="169" t="n"/>
      <c r="AC88" s="169" t="n"/>
      <c r="AD88" s="169" t="n"/>
      <c r="AE88" s="169" t="n"/>
      <c r="AF88" s="169" t="n"/>
      <c r="AG88" s="169" t="n"/>
      <c r="AH88" s="169" t="n"/>
      <c r="AI88" s="169" t="n"/>
      <c r="AJ88" s="169" t="n"/>
      <c r="AK88" s="169" t="n"/>
      <c r="AL88" s="169" t="n"/>
      <c r="AM88" s="169" t="n"/>
      <c r="AN88" s="169" t="n"/>
      <c r="AO88" s="169" t="n"/>
      <c r="AP88" s="169" t="n"/>
      <c r="AQ88" s="169" t="n"/>
      <c r="AR88" s="169" t="n"/>
      <c r="AS88" s="169" t="n"/>
      <c r="AT88" s="169" t="n"/>
      <c r="AU88" s="169" t="n"/>
      <c r="AV88" s="169" t="n"/>
      <c r="AW88" s="169" t="n"/>
      <c r="AX88" s="169" t="n"/>
      <c r="AY88" s="169" t="n"/>
      <c r="AZ88" s="169" t="n"/>
      <c r="BA88" s="169" t="n"/>
      <c r="BB88" s="169" t="n"/>
      <c r="BC88" s="169" t="n"/>
      <c r="BD88" s="169" t="n"/>
      <c r="BE88" s="169" t="n"/>
      <c r="BF88" s="169" t="n"/>
      <c r="BG88" s="169" t="n"/>
      <c r="BH88" s="169" t="n"/>
      <c r="BI88" s="169" t="n"/>
      <c r="BJ88" s="169" t="n"/>
      <c r="BK88" s="169" t="n"/>
      <c r="BL88" s="169" t="n"/>
      <c r="BM88" s="169" t="n"/>
      <c r="BN88" s="169" t="n"/>
      <c r="BO88" s="169" t="n"/>
      <c r="BP88" s="169" t="n"/>
      <c r="BQ88" s="169" t="n"/>
      <c r="BR88" s="169" t="n"/>
      <c r="BS88" s="169" t="n"/>
      <c r="BT88" s="169" t="n"/>
      <c r="BU88" s="169" t="n"/>
      <c r="BV88" s="169" t="n"/>
      <c r="BW88" s="169" t="n"/>
      <c r="BX88" s="169" t="n"/>
      <c r="BY88" s="169" t="n"/>
      <c r="BZ88" s="169" t="n"/>
      <c r="CA88" s="169" t="n"/>
      <c r="CB88" s="169" t="n"/>
      <c r="CC88" s="169" t="n"/>
      <c r="CD88" s="169" t="n"/>
    </row>
    <row r="89">
      <c r="A89" s="83" t="n"/>
      <c r="B89" s="169" t="n"/>
      <c r="C89" s="169" t="n"/>
      <c r="D89" s="169" t="n"/>
      <c r="E89" s="169" t="n"/>
      <c r="F89" s="169" t="n"/>
      <c r="G89" s="169" t="n"/>
      <c r="H89" s="169" t="n"/>
      <c r="I89" s="169" t="n"/>
      <c r="J89" s="169" t="n"/>
      <c r="K89" s="169" t="n"/>
      <c r="L89" s="169" t="n"/>
      <c r="M89" s="169" t="n"/>
      <c r="N89" s="169" t="n"/>
      <c r="O89" s="169" t="n"/>
      <c r="P89" s="169" t="n"/>
      <c r="Q89" s="169" t="n"/>
      <c r="R89" s="169" t="n"/>
      <c r="S89" s="169" t="n"/>
      <c r="T89" s="169" t="n"/>
      <c r="U89" s="169" t="n"/>
      <c r="V89" s="169" t="n"/>
      <c r="W89" s="169" t="n"/>
      <c r="X89" s="169" t="n"/>
      <c r="Y89" s="169" t="n"/>
      <c r="Z89" s="169" t="n"/>
      <c r="AA89" s="169" t="n"/>
      <c r="AB89" s="169" t="n"/>
      <c r="AC89" s="169" t="n"/>
      <c r="AD89" s="169" t="n"/>
      <c r="AE89" s="169" t="n"/>
      <c r="AF89" s="169" t="n"/>
      <c r="AG89" s="169" t="n"/>
      <c r="AH89" s="169" t="n"/>
      <c r="AI89" s="169" t="n"/>
      <c r="AJ89" s="169" t="n"/>
      <c r="AK89" s="169" t="n"/>
      <c r="AL89" s="169" t="n"/>
      <c r="AM89" s="169" t="n"/>
      <c r="AN89" s="169" t="n"/>
      <c r="AO89" s="169" t="n"/>
      <c r="AP89" s="169" t="n"/>
      <c r="AQ89" s="169" t="n"/>
      <c r="AR89" s="169" t="n"/>
      <c r="AS89" s="169" t="n"/>
      <c r="AT89" s="169" t="n"/>
      <c r="AU89" s="169" t="n"/>
      <c r="AV89" s="169" t="n"/>
      <c r="AW89" s="169" t="n"/>
      <c r="AX89" s="169" t="n"/>
      <c r="AY89" s="169" t="n"/>
      <c r="AZ89" s="169" t="n"/>
      <c r="BA89" s="169" t="n"/>
      <c r="BB89" s="169" t="n"/>
      <c r="BC89" s="169" t="n"/>
      <c r="BD89" s="169" t="n"/>
      <c r="BE89" s="169" t="n"/>
      <c r="BF89" s="169" t="n"/>
      <c r="BG89" s="169" t="n"/>
      <c r="BH89" s="169" t="n"/>
      <c r="BI89" s="169" t="n"/>
      <c r="BJ89" s="169" t="n"/>
      <c r="BK89" s="169" t="n"/>
      <c r="BL89" s="169" t="n"/>
      <c r="BM89" s="169" t="n"/>
      <c r="BN89" s="169" t="n"/>
      <c r="BO89" s="169" t="n"/>
      <c r="BP89" s="169" t="n"/>
      <c r="BQ89" s="169" t="n"/>
      <c r="BR89" s="169" t="n"/>
      <c r="BS89" s="169" t="n"/>
      <c r="BT89" s="169" t="n"/>
      <c r="BU89" s="169" t="n"/>
      <c r="BV89" s="169" t="n"/>
      <c r="BW89" s="169" t="n"/>
      <c r="BX89" s="169" t="n"/>
      <c r="BY89" s="169" t="n"/>
      <c r="BZ89" s="169" t="n"/>
      <c r="CA89" s="169" t="n"/>
      <c r="CB89" s="169" t="n"/>
      <c r="CC89" s="169" t="n"/>
      <c r="CD89" s="169" t="n"/>
    </row>
    <row r="90">
      <c r="A90" s="83" t="n"/>
      <c r="B90" s="169" t="n"/>
      <c r="C90" s="169" t="n"/>
      <c r="D90" s="169" t="n"/>
      <c r="E90" s="169" t="n"/>
      <c r="F90" s="169" t="n"/>
      <c r="G90" s="169" t="n"/>
      <c r="H90" s="169" t="n"/>
      <c r="I90" s="169" t="n"/>
      <c r="J90" s="169" t="n"/>
      <c r="K90" s="169" t="n"/>
      <c r="L90" s="169" t="n"/>
      <c r="M90" s="169" t="n"/>
      <c r="N90" s="169" t="n"/>
      <c r="O90" s="169" t="n"/>
      <c r="P90" s="169" t="n"/>
      <c r="Q90" s="169" t="n"/>
      <c r="R90" s="169" t="n"/>
      <c r="S90" s="169" t="n"/>
      <c r="T90" s="169" t="n"/>
      <c r="U90" s="169" t="n"/>
      <c r="V90" s="169" t="n"/>
      <c r="W90" s="169" t="n"/>
      <c r="X90" s="169" t="n"/>
      <c r="Y90" s="169" t="n"/>
      <c r="Z90" s="169" t="n"/>
      <c r="AA90" s="169" t="n"/>
      <c r="AB90" s="169" t="n"/>
      <c r="AC90" s="169" t="n"/>
      <c r="AD90" s="169" t="n"/>
      <c r="AE90" s="169" t="n"/>
      <c r="AF90" s="169" t="n"/>
      <c r="AG90" s="169" t="n"/>
      <c r="AH90" s="169" t="n"/>
      <c r="AI90" s="169" t="n"/>
      <c r="AJ90" s="169" t="n"/>
      <c r="AK90" s="169" t="n"/>
      <c r="AL90" s="169" t="n"/>
      <c r="AM90" s="169" t="n"/>
      <c r="AN90" s="169" t="n"/>
      <c r="AO90" s="169" t="n"/>
      <c r="AP90" s="169" t="n"/>
      <c r="AQ90" s="169" t="n"/>
      <c r="AR90" s="169" t="n"/>
      <c r="AS90" s="169" t="n"/>
      <c r="AT90" s="169" t="n"/>
      <c r="AU90" s="169" t="n"/>
      <c r="AV90" s="169" t="n"/>
      <c r="AW90" s="169" t="n"/>
      <c r="AX90" s="169" t="n"/>
      <c r="AY90" s="169" t="n"/>
      <c r="AZ90" s="169" t="n"/>
      <c r="BA90" s="169" t="n"/>
      <c r="BB90" s="169" t="n"/>
      <c r="BC90" s="169" t="n"/>
      <c r="BD90" s="169" t="n"/>
      <c r="BE90" s="169" t="n"/>
      <c r="BF90" s="169" t="n"/>
      <c r="BG90" s="169" t="n"/>
      <c r="BH90" s="169" t="n"/>
      <c r="BI90" s="169" t="n"/>
      <c r="BJ90" s="169" t="n"/>
      <c r="BK90" s="169" t="n"/>
      <c r="BL90" s="169" t="n"/>
      <c r="BM90" s="169" t="n"/>
      <c r="BN90" s="169" t="n"/>
      <c r="BO90" s="169" t="n"/>
      <c r="BP90" s="169" t="n"/>
      <c r="BQ90" s="169" t="n"/>
      <c r="BR90" s="169" t="n"/>
      <c r="BS90" s="169" t="n"/>
      <c r="BT90" s="169" t="n"/>
      <c r="BU90" s="169" t="n"/>
      <c r="BV90" s="169" t="n"/>
      <c r="BW90" s="169" t="n"/>
      <c r="BX90" s="169" t="n"/>
      <c r="BY90" s="169" t="n"/>
      <c r="BZ90" s="169" t="n"/>
      <c r="CA90" s="169" t="n"/>
      <c r="CB90" s="169" t="n"/>
      <c r="CC90" s="169" t="n"/>
      <c r="CD90" s="169" t="n"/>
    </row>
    <row r="91">
      <c r="A91" s="83" t="n"/>
      <c r="B91" s="169" t="n"/>
      <c r="C91" s="169" t="n"/>
      <c r="D91" s="169" t="n"/>
      <c r="E91" s="169" t="n"/>
      <c r="F91" s="169" t="n"/>
      <c r="G91" s="169" t="n"/>
      <c r="H91" s="169" t="n"/>
      <c r="I91" s="169" t="n"/>
      <c r="J91" s="169" t="n"/>
      <c r="K91" s="169" t="n"/>
      <c r="L91" s="169" t="n"/>
      <c r="M91" s="169" t="n"/>
      <c r="N91" s="169" t="n"/>
      <c r="O91" s="169" t="n"/>
      <c r="P91" s="169" t="n"/>
      <c r="Q91" s="169" t="n"/>
      <c r="R91" s="169" t="n"/>
      <c r="S91" s="169" t="n"/>
      <c r="T91" s="169" t="n"/>
      <c r="U91" s="169" t="n"/>
      <c r="V91" s="169" t="n"/>
      <c r="W91" s="169" t="n"/>
      <c r="X91" s="169" t="n"/>
      <c r="Y91" s="169" t="n"/>
      <c r="Z91" s="169" t="n"/>
      <c r="AA91" s="169" t="n"/>
      <c r="AB91" s="169" t="n"/>
      <c r="AC91" s="169" t="n"/>
      <c r="AD91" s="169" t="n"/>
      <c r="AE91" s="169" t="n"/>
      <c r="AF91" s="169" t="n"/>
      <c r="AG91" s="169" t="n"/>
      <c r="AH91" s="169" t="n"/>
      <c r="AI91" s="169" t="n"/>
      <c r="AJ91" s="169" t="n"/>
      <c r="AK91" s="169" t="n"/>
      <c r="AL91" s="169" t="n"/>
      <c r="AM91" s="169" t="n"/>
      <c r="AN91" s="169" t="n"/>
      <c r="AO91" s="169" t="n"/>
      <c r="AP91" s="169" t="n"/>
      <c r="AQ91" s="169" t="n"/>
      <c r="AR91" s="169" t="n"/>
      <c r="AS91" s="169" t="n"/>
      <c r="AT91" s="169" t="n"/>
      <c r="AU91" s="169" t="n"/>
      <c r="AV91" s="169" t="n"/>
      <c r="AW91" s="169" t="n"/>
      <c r="AX91" s="169" t="n"/>
      <c r="AY91" s="169" t="n"/>
      <c r="AZ91" s="169" t="n"/>
      <c r="BA91" s="169" t="n"/>
      <c r="BB91" s="169" t="n"/>
      <c r="BC91" s="169" t="n"/>
      <c r="BD91" s="169" t="n"/>
      <c r="BE91" s="169" t="n"/>
      <c r="BF91" s="169" t="n"/>
      <c r="BG91" s="169" t="n"/>
      <c r="BH91" s="169" t="n"/>
      <c r="BI91" s="169" t="n"/>
      <c r="BJ91" s="169" t="n"/>
      <c r="BK91" s="169" t="n"/>
      <c r="BL91" s="169" t="n"/>
      <c r="BM91" s="169" t="n"/>
      <c r="BN91" s="169" t="n"/>
      <c r="BO91" s="169" t="n"/>
      <c r="BP91" s="169" t="n"/>
      <c r="BQ91" s="169" t="n"/>
      <c r="BR91" s="169" t="n"/>
      <c r="BS91" s="169" t="n"/>
      <c r="BT91" s="169" t="n"/>
      <c r="BU91" s="169" t="n"/>
      <c r="BV91" s="169" t="n"/>
      <c r="BW91" s="169" t="n"/>
      <c r="BX91" s="169" t="n"/>
      <c r="BY91" s="169" t="n"/>
      <c r="BZ91" s="169" t="n"/>
      <c r="CA91" s="169" t="n"/>
      <c r="CB91" s="169" t="n"/>
      <c r="CC91" s="169" t="n"/>
      <c r="CD91" s="169" t="n"/>
    </row>
    <row r="92">
      <c r="A92" s="83" t="n"/>
      <c r="B92" s="169" t="n"/>
      <c r="C92" s="169" t="n"/>
      <c r="D92" s="169" t="n"/>
      <c r="E92" s="169" t="n"/>
      <c r="F92" s="169" t="n"/>
      <c r="G92" s="169" t="n"/>
      <c r="H92" s="169" t="n"/>
      <c r="I92" s="169" t="n"/>
      <c r="J92" s="169" t="n"/>
      <c r="K92" s="169" t="n"/>
      <c r="L92" s="169" t="n"/>
      <c r="M92" s="169" t="n"/>
      <c r="N92" s="169" t="n"/>
      <c r="O92" s="169" t="n"/>
      <c r="P92" s="169" t="n"/>
      <c r="Q92" s="169" t="n"/>
      <c r="R92" s="169" t="n"/>
      <c r="S92" s="169" t="n"/>
      <c r="T92" s="169" t="n"/>
      <c r="U92" s="169" t="n"/>
      <c r="V92" s="169" t="n"/>
      <c r="W92" s="169" t="n"/>
      <c r="X92" s="169" t="n"/>
      <c r="Y92" s="169" t="n"/>
      <c r="Z92" s="169" t="n"/>
      <c r="AA92" s="169" t="n"/>
      <c r="AB92" s="169" t="n"/>
      <c r="AC92" s="169" t="n"/>
      <c r="AD92" s="169" t="n"/>
      <c r="AE92" s="169" t="n"/>
      <c r="AF92" s="169" t="n"/>
      <c r="AG92" s="169" t="n"/>
      <c r="AH92" s="169" t="n"/>
      <c r="AI92" s="169" t="n"/>
      <c r="AJ92" s="169" t="n"/>
      <c r="AK92" s="169" t="n"/>
      <c r="AL92" s="169" t="n"/>
      <c r="AM92" s="169" t="n"/>
      <c r="AN92" s="169" t="n"/>
      <c r="AO92" s="169" t="n"/>
      <c r="AP92" s="169" t="n"/>
      <c r="AQ92" s="169" t="n"/>
      <c r="AR92" s="169" t="n"/>
      <c r="AS92" s="169" t="n"/>
      <c r="AT92" s="169" t="n"/>
      <c r="AU92" s="169" t="n"/>
      <c r="AV92" s="169" t="n"/>
      <c r="AW92" s="169" t="n"/>
      <c r="AX92" s="169" t="n"/>
      <c r="AY92" s="169" t="n"/>
      <c r="AZ92" s="169" t="n"/>
      <c r="BA92" s="169" t="n"/>
      <c r="BB92" s="169" t="n"/>
      <c r="BC92" s="169" t="n"/>
      <c r="BD92" s="169" t="n"/>
      <c r="BE92" s="169" t="n"/>
      <c r="BF92" s="169" t="n"/>
      <c r="BG92" s="169" t="n"/>
      <c r="BH92" s="169" t="n"/>
      <c r="BI92" s="169" t="n"/>
      <c r="BJ92" s="169" t="n"/>
      <c r="BK92" s="169" t="n"/>
      <c r="BL92" s="169" t="n"/>
      <c r="BM92" s="169" t="n"/>
      <c r="BN92" s="169" t="n"/>
      <c r="BO92" s="169" t="n"/>
      <c r="BP92" s="169" t="n"/>
      <c r="BQ92" s="169" t="n"/>
      <c r="BR92" s="169" t="n"/>
      <c r="BS92" s="169" t="n"/>
      <c r="BT92" s="169" t="n"/>
      <c r="BU92" s="169" t="n"/>
      <c r="BV92" s="169" t="n"/>
      <c r="BW92" s="169" t="n"/>
      <c r="BX92" s="169" t="n"/>
      <c r="BY92" s="169" t="n"/>
      <c r="BZ92" s="169" t="n"/>
      <c r="CA92" s="169" t="n"/>
      <c r="CB92" s="169" t="n"/>
      <c r="CC92" s="169" t="n"/>
      <c r="CD92" s="169" t="n"/>
    </row>
    <row r="93">
      <c r="A93" s="83" t="n"/>
      <c r="B93" s="169" t="n"/>
      <c r="C93" s="169" t="n"/>
      <c r="D93" s="169" t="n"/>
      <c r="E93" s="169" t="n"/>
      <c r="F93" s="169" t="n"/>
      <c r="G93" s="169" t="n"/>
      <c r="H93" s="169" t="n"/>
      <c r="I93" s="169" t="n"/>
      <c r="J93" s="169" t="n"/>
      <c r="K93" s="169" t="n"/>
      <c r="L93" s="169" t="n"/>
      <c r="M93" s="169" t="n"/>
      <c r="N93" s="169" t="n"/>
      <c r="O93" s="169" t="n"/>
      <c r="P93" s="169" t="n"/>
      <c r="Q93" s="169" t="n"/>
      <c r="R93" s="169" t="n"/>
      <c r="S93" s="169" t="n"/>
      <c r="T93" s="169" t="n"/>
      <c r="U93" s="169" t="n"/>
      <c r="V93" s="169" t="n"/>
      <c r="W93" s="169" t="n"/>
      <c r="X93" s="169" t="n"/>
      <c r="Y93" s="169" t="n"/>
      <c r="Z93" s="169" t="n"/>
      <c r="AA93" s="169" t="n"/>
      <c r="AB93" s="169" t="n"/>
      <c r="AC93" s="169" t="n"/>
      <c r="AD93" s="169" t="n"/>
      <c r="AE93" s="169" t="n"/>
      <c r="AF93" s="169" t="n"/>
      <c r="AG93" s="169" t="n"/>
      <c r="AH93" s="169" t="n"/>
      <c r="AI93" s="169" t="n"/>
      <c r="AJ93" s="169" t="n"/>
      <c r="AK93" s="169" t="n"/>
      <c r="AL93" s="169" t="n"/>
      <c r="AM93" s="169" t="n"/>
      <c r="AN93" s="169" t="n"/>
      <c r="AO93" s="169" t="n"/>
      <c r="AP93" s="169" t="n"/>
      <c r="AQ93" s="169" t="n"/>
      <c r="AR93" s="169" t="n"/>
      <c r="AS93" s="169" t="n"/>
      <c r="AT93" s="169" t="n"/>
      <c r="AU93" s="169" t="n"/>
      <c r="AV93" s="169" t="n"/>
      <c r="AW93" s="169" t="n"/>
      <c r="AX93" s="169" t="n"/>
      <c r="AY93" s="169" t="n"/>
      <c r="AZ93" s="169" t="n"/>
      <c r="BA93" s="169" t="n"/>
      <c r="BB93" s="169" t="n"/>
      <c r="BC93" s="169" t="n"/>
      <c r="BD93" s="169" t="n"/>
      <c r="BE93" s="169" t="n"/>
      <c r="BF93" s="169" t="n"/>
      <c r="BG93" s="169" t="n"/>
      <c r="BH93" s="169" t="n"/>
      <c r="BI93" s="169" t="n"/>
      <c r="BJ93" s="169" t="n"/>
      <c r="BK93" s="169" t="n"/>
      <c r="BL93" s="169" t="n"/>
      <c r="BM93" s="169" t="n"/>
      <c r="BN93" s="169" t="n"/>
      <c r="BO93" s="169" t="n"/>
      <c r="BP93" s="169" t="n"/>
      <c r="BQ93" s="169" t="n"/>
      <c r="BR93" s="169" t="n"/>
      <c r="BS93" s="169" t="n"/>
      <c r="BT93" s="169" t="n"/>
      <c r="BU93" s="169" t="n"/>
      <c r="BV93" s="169" t="n"/>
      <c r="BW93" s="169" t="n"/>
      <c r="BX93" s="169" t="n"/>
      <c r="BY93" s="169" t="n"/>
      <c r="BZ93" s="169" t="n"/>
      <c r="CA93" s="169" t="n"/>
      <c r="CB93" s="169" t="n"/>
      <c r="CC93" s="169" t="n"/>
      <c r="CD93" s="169" t="n"/>
    </row>
    <row r="94">
      <c r="A94" s="83" t="n"/>
      <c r="B94" s="169" t="n"/>
      <c r="C94" s="169" t="n"/>
      <c r="D94" s="169" t="n"/>
      <c r="E94" s="169" t="n"/>
      <c r="F94" s="169" t="n"/>
      <c r="G94" s="169" t="n"/>
      <c r="H94" s="169" t="n"/>
      <c r="I94" s="169" t="n"/>
      <c r="J94" s="169" t="n"/>
      <c r="K94" s="169" t="n"/>
      <c r="L94" s="169" t="n"/>
      <c r="M94" s="169" t="n"/>
      <c r="N94" s="169" t="n"/>
      <c r="O94" s="169" t="n"/>
      <c r="P94" s="169" t="n"/>
      <c r="Q94" s="169" t="n"/>
      <c r="R94" s="169" t="n"/>
      <c r="S94" s="169" t="n"/>
      <c r="T94" s="169" t="n"/>
      <c r="U94" s="169" t="n"/>
      <c r="V94" s="169" t="n"/>
      <c r="W94" s="169" t="n"/>
      <c r="X94" s="169" t="n"/>
      <c r="Y94" s="169" t="n"/>
      <c r="Z94" s="169" t="n"/>
      <c r="AA94" s="169" t="n"/>
      <c r="AB94" s="169" t="n"/>
      <c r="AC94" s="169" t="n"/>
      <c r="AD94" s="169" t="n"/>
      <c r="AE94" s="169" t="n"/>
      <c r="AF94" s="169" t="n"/>
      <c r="AG94" s="169" t="n"/>
      <c r="AH94" s="169" t="n"/>
      <c r="AI94" s="169" t="n"/>
      <c r="AJ94" s="169" t="n"/>
      <c r="AK94" s="169" t="n"/>
      <c r="AL94" s="169" t="n"/>
      <c r="AM94" s="169" t="n"/>
      <c r="AN94" s="169" t="n"/>
      <c r="AO94" s="169" t="n"/>
      <c r="AP94" s="169" t="n"/>
      <c r="AQ94" s="169" t="n"/>
      <c r="AR94" s="169" t="n"/>
      <c r="AS94" s="169" t="n"/>
      <c r="AT94" s="169" t="n"/>
      <c r="AU94" s="169" t="n"/>
      <c r="AV94" s="169" t="n"/>
      <c r="AW94" s="169" t="n"/>
      <c r="AX94" s="169" t="n"/>
      <c r="AY94" s="169" t="n"/>
      <c r="AZ94" s="169" t="n"/>
      <c r="BA94" s="169" t="n"/>
      <c r="BB94" s="169" t="n"/>
      <c r="BC94" s="169" t="n"/>
      <c r="BD94" s="169" t="n"/>
      <c r="BE94" s="169" t="n"/>
      <c r="BF94" s="169" t="n"/>
      <c r="BG94" s="169" t="n"/>
      <c r="BH94" s="169" t="n"/>
      <c r="BI94" s="169" t="n"/>
      <c r="BJ94" s="169" t="n"/>
      <c r="BK94" s="169" t="n"/>
      <c r="BL94" s="169" t="n"/>
      <c r="BM94" s="169" t="n"/>
      <c r="BN94" s="169" t="n"/>
      <c r="BO94" s="169" t="n"/>
      <c r="BP94" s="169" t="n"/>
      <c r="BQ94" s="169" t="n"/>
      <c r="BR94" s="169" t="n"/>
      <c r="BS94" s="169" t="n"/>
      <c r="BT94" s="169" t="n"/>
      <c r="BU94" s="169" t="n"/>
      <c r="BV94" s="169" t="n"/>
      <c r="BW94" s="169" t="n"/>
      <c r="BX94" s="169" t="n"/>
      <c r="BY94" s="169" t="n"/>
      <c r="BZ94" s="169" t="n"/>
      <c r="CA94" s="169" t="n"/>
      <c r="CB94" s="169" t="n"/>
      <c r="CC94" s="169" t="n"/>
      <c r="CD94" s="169" t="n"/>
    </row>
    <row r="95">
      <c r="A95" s="83" t="n"/>
      <c r="B95" s="169" t="n"/>
      <c r="C95" s="169" t="n"/>
      <c r="D95" s="169" t="n"/>
      <c r="E95" s="169" t="n"/>
      <c r="F95" s="169" t="n"/>
      <c r="G95" s="169" t="n"/>
      <c r="H95" s="169" t="n"/>
      <c r="I95" s="169" t="n"/>
      <c r="J95" s="169" t="n"/>
      <c r="K95" s="169" t="n"/>
      <c r="L95" s="169" t="n"/>
      <c r="M95" s="169" t="n"/>
      <c r="N95" s="169" t="n"/>
      <c r="O95" s="169" t="n"/>
      <c r="P95" s="169" t="n"/>
      <c r="Q95" s="169" t="n"/>
      <c r="R95" s="169" t="n"/>
      <c r="S95" s="169" t="n"/>
      <c r="T95" s="169" t="n"/>
      <c r="U95" s="169" t="n"/>
      <c r="V95" s="169" t="n"/>
      <c r="W95" s="169" t="n"/>
      <c r="X95" s="169" t="n"/>
      <c r="Y95" s="169" t="n"/>
      <c r="Z95" s="169" t="n"/>
      <c r="AA95" s="169" t="n"/>
      <c r="AB95" s="169" t="n"/>
      <c r="AC95" s="169" t="n"/>
      <c r="AD95" s="169" t="n"/>
      <c r="AE95" s="169" t="n"/>
      <c r="AF95" s="169" t="n"/>
      <c r="AG95" s="169" t="n"/>
      <c r="AH95" s="169" t="n"/>
      <c r="AI95" s="169" t="n"/>
      <c r="AJ95" s="169" t="n"/>
      <c r="AK95" s="169" t="n"/>
      <c r="AL95" s="169" t="n"/>
      <c r="AM95" s="169" t="n"/>
      <c r="AN95" s="169" t="n"/>
      <c r="AO95" s="169" t="n"/>
      <c r="AP95" s="169" t="n"/>
      <c r="AQ95" s="169" t="n"/>
      <c r="AR95" s="169" t="n"/>
      <c r="AS95" s="169" t="n"/>
      <c r="AT95" s="169" t="n"/>
      <c r="AU95" s="169" t="n"/>
      <c r="AV95" s="169" t="n"/>
      <c r="AW95" s="169" t="n"/>
      <c r="AX95" s="169" t="n"/>
      <c r="AY95" s="169" t="n"/>
      <c r="AZ95" s="169" t="n"/>
      <c r="BA95" s="169" t="n"/>
      <c r="BB95" s="169" t="n"/>
      <c r="BC95" s="169" t="n"/>
      <c r="BD95" s="169" t="n"/>
      <c r="BE95" s="169" t="n"/>
      <c r="BF95" s="169" t="n"/>
      <c r="BG95" s="169" t="n"/>
      <c r="BH95" s="169" t="n"/>
      <c r="BI95" s="169" t="n"/>
      <c r="BJ95" s="169" t="n"/>
      <c r="BK95" s="169" t="n"/>
      <c r="BL95" s="169" t="n"/>
      <c r="BM95" s="169" t="n"/>
      <c r="BN95" s="169" t="n"/>
      <c r="BO95" s="169" t="n"/>
      <c r="BP95" s="169" t="n"/>
      <c r="BQ95" s="169" t="n"/>
      <c r="BR95" s="169" t="n"/>
      <c r="BS95" s="169" t="n"/>
      <c r="BT95" s="169" t="n"/>
      <c r="BU95" s="169" t="n"/>
      <c r="BV95" s="169" t="n"/>
      <c r="BW95" s="169" t="n"/>
      <c r="BX95" s="169" t="n"/>
      <c r="BY95" s="169" t="n"/>
      <c r="BZ95" s="169" t="n"/>
      <c r="CA95" s="169" t="n"/>
      <c r="CB95" s="169" t="n"/>
      <c r="CC95" s="169" t="n"/>
      <c r="CD95" s="169" t="n"/>
    </row>
    <row r="96">
      <c r="A96" s="83" t="n"/>
      <c r="B96" s="169" t="n"/>
      <c r="C96" s="169" t="n"/>
      <c r="D96" s="169" t="n"/>
      <c r="E96" s="169" t="n"/>
      <c r="F96" s="169" t="n"/>
      <c r="G96" s="169" t="n"/>
      <c r="H96" s="169" t="n"/>
      <c r="I96" s="169" t="n"/>
      <c r="J96" s="169" t="n"/>
      <c r="K96" s="169" t="n"/>
      <c r="L96" s="169" t="n"/>
      <c r="M96" s="169" t="n"/>
      <c r="N96" s="169" t="n"/>
      <c r="O96" s="169" t="n"/>
      <c r="P96" s="169" t="n"/>
      <c r="Q96" s="169" t="n"/>
      <c r="R96" s="169" t="n"/>
      <c r="S96" s="169" t="n"/>
      <c r="T96" s="169" t="n"/>
      <c r="U96" s="169" t="n"/>
      <c r="V96" s="169" t="n"/>
      <c r="W96" s="169" t="n"/>
      <c r="X96" s="169" t="n"/>
      <c r="Y96" s="169" t="n"/>
      <c r="Z96" s="169" t="n"/>
      <c r="AA96" s="169" t="n"/>
      <c r="AB96" s="169" t="n"/>
      <c r="AC96" s="169" t="n"/>
      <c r="AD96" s="169" t="n"/>
      <c r="AE96" s="169" t="n"/>
      <c r="AF96" s="169" t="n"/>
      <c r="AG96" s="169" t="n"/>
      <c r="AH96" s="169" t="n"/>
      <c r="AI96" s="169" t="n"/>
      <c r="AJ96" s="169" t="n"/>
      <c r="AK96" s="169" t="n"/>
      <c r="AL96" s="169" t="n"/>
      <c r="AM96" s="169" t="n"/>
      <c r="AN96" s="169" t="n"/>
      <c r="AO96" s="169" t="n"/>
      <c r="AP96" s="169" t="n"/>
      <c r="AQ96" s="169" t="n"/>
      <c r="AR96" s="169" t="n"/>
      <c r="AS96" s="169" t="n"/>
      <c r="AT96" s="169" t="n"/>
      <c r="AU96" s="169" t="n"/>
      <c r="AV96" s="169" t="n"/>
      <c r="AW96" s="169" t="n"/>
      <c r="AX96" s="169" t="n"/>
      <c r="AY96" s="169" t="n"/>
      <c r="AZ96" s="169" t="n"/>
      <c r="BA96" s="169" t="n"/>
      <c r="BB96" s="169" t="n"/>
      <c r="BC96" s="169" t="n"/>
      <c r="BD96" s="169" t="n"/>
      <c r="BE96" s="169" t="n"/>
      <c r="BF96" s="169" t="n"/>
      <c r="BG96" s="169" t="n"/>
      <c r="BH96" s="169" t="n"/>
      <c r="BI96" s="169" t="n"/>
      <c r="BJ96" s="169" t="n"/>
      <c r="BK96" s="169" t="n"/>
      <c r="BL96" s="169" t="n"/>
      <c r="BM96" s="169" t="n"/>
      <c r="BN96" s="169" t="n"/>
      <c r="BO96" s="169" t="n"/>
      <c r="BP96" s="169" t="n"/>
      <c r="BQ96" s="169" t="n"/>
      <c r="BR96" s="169" t="n"/>
      <c r="BS96" s="169" t="n"/>
      <c r="BT96" s="169" t="n"/>
      <c r="BU96" s="169" t="n"/>
      <c r="BV96" s="169" t="n"/>
      <c r="BW96" s="169" t="n"/>
      <c r="BX96" s="169" t="n"/>
      <c r="BY96" s="169" t="n"/>
      <c r="BZ96" s="169" t="n"/>
      <c r="CA96" s="169" t="n"/>
      <c r="CB96" s="169" t="n"/>
      <c r="CC96" s="169" t="n"/>
      <c r="CD96" s="169" t="n"/>
    </row>
    <row r="97">
      <c r="A97" s="83" t="n"/>
      <c r="B97" s="169" t="n"/>
      <c r="C97" s="169" t="n"/>
      <c r="D97" s="169" t="n"/>
      <c r="E97" s="169" t="n"/>
      <c r="F97" s="169" t="n"/>
      <c r="G97" s="169" t="n"/>
      <c r="H97" s="169" t="n"/>
      <c r="I97" s="169" t="n"/>
      <c r="J97" s="169" t="n"/>
      <c r="K97" s="169" t="n"/>
      <c r="L97" s="169" t="n"/>
      <c r="M97" s="169" t="n"/>
      <c r="N97" s="169" t="n"/>
      <c r="O97" s="169" t="n"/>
      <c r="P97" s="169" t="n"/>
      <c r="Q97" s="169" t="n"/>
      <c r="R97" s="169" t="n"/>
      <c r="S97" s="169" t="n"/>
      <c r="T97" s="169" t="n"/>
      <c r="U97" s="169" t="n"/>
      <c r="V97" s="169" t="n"/>
      <c r="W97" s="169" t="n"/>
      <c r="X97" s="169" t="n"/>
      <c r="Y97" s="169" t="n"/>
      <c r="Z97" s="169" t="n"/>
      <c r="AA97" s="169" t="n"/>
      <c r="AB97" s="169" t="n"/>
      <c r="AC97" s="169" t="n"/>
      <c r="AD97" s="169" t="n"/>
      <c r="AE97" s="169" t="n"/>
      <c r="AF97" s="169" t="n"/>
      <c r="AG97" s="169" t="n"/>
      <c r="AH97" s="169" t="n"/>
      <c r="AI97" s="169" t="n"/>
      <c r="AJ97" s="169" t="n"/>
      <c r="AK97" s="169" t="n"/>
      <c r="AL97" s="169" t="n"/>
      <c r="AM97" s="169" t="n"/>
      <c r="AN97" s="169" t="n"/>
      <c r="AO97" s="169" t="n"/>
      <c r="AP97" s="169" t="n"/>
      <c r="AQ97" s="169" t="n"/>
      <c r="AR97" s="169" t="n"/>
      <c r="AS97" s="169" t="n"/>
      <c r="AT97" s="169" t="n"/>
      <c r="AU97" s="169" t="n"/>
      <c r="AV97" s="169" t="n"/>
      <c r="AW97" s="169" t="n"/>
      <c r="AX97" s="169" t="n"/>
      <c r="AY97" s="169" t="n"/>
      <c r="AZ97" s="169" t="n"/>
      <c r="BA97" s="169" t="n"/>
      <c r="BB97" s="169" t="n"/>
      <c r="BC97" s="169" t="n"/>
      <c r="BD97" s="169" t="n"/>
      <c r="BE97" s="169" t="n"/>
      <c r="BF97" s="169" t="n"/>
      <c r="BG97" s="169" t="n"/>
      <c r="BH97" s="169" t="n"/>
      <c r="BI97" s="169" t="n"/>
      <c r="BJ97" s="169" t="n"/>
      <c r="BK97" s="169" t="n"/>
      <c r="BL97" s="169" t="n"/>
      <c r="BM97" s="169" t="n"/>
      <c r="BN97" s="169" t="n"/>
      <c r="BO97" s="169" t="n"/>
      <c r="BP97" s="169" t="n"/>
      <c r="BQ97" s="169" t="n"/>
      <c r="BR97" s="169" t="n"/>
      <c r="BS97" s="169" t="n"/>
      <c r="BT97" s="169" t="n"/>
      <c r="BU97" s="169" t="n"/>
      <c r="BV97" s="169" t="n"/>
      <c r="BW97" s="169" t="n"/>
      <c r="BX97" s="169" t="n"/>
      <c r="BY97" s="169" t="n"/>
      <c r="BZ97" s="169" t="n"/>
      <c r="CA97" s="169" t="n"/>
      <c r="CB97" s="169" t="n"/>
      <c r="CC97" s="169" t="n"/>
      <c r="CD97" s="169" t="n"/>
    </row>
    <row r="98">
      <c r="A98" s="83" t="n"/>
      <c r="B98" s="169" t="n"/>
      <c r="C98" s="169" t="n"/>
      <c r="D98" s="169" t="n"/>
      <c r="E98" s="169" t="n"/>
      <c r="F98" s="169" t="n"/>
      <c r="G98" s="169" t="n"/>
      <c r="H98" s="169" t="n"/>
      <c r="I98" s="169" t="n"/>
      <c r="J98" s="169" t="n"/>
      <c r="K98" s="169" t="n"/>
      <c r="L98" s="169" t="n"/>
      <c r="M98" s="169" t="n"/>
      <c r="N98" s="169" t="n"/>
      <c r="O98" s="169" t="n"/>
      <c r="P98" s="169" t="n"/>
      <c r="Q98" s="169" t="n"/>
      <c r="R98" s="169" t="n"/>
      <c r="S98" s="169" t="n"/>
      <c r="T98" s="169" t="n"/>
      <c r="U98" s="169" t="n"/>
      <c r="V98" s="169" t="n"/>
      <c r="W98" s="169" t="n"/>
      <c r="X98" s="169" t="n"/>
      <c r="Y98" s="169" t="n"/>
      <c r="Z98" s="169" t="n"/>
      <c r="AA98" s="169" t="n"/>
      <c r="AB98" s="169" t="n"/>
      <c r="AC98" s="169" t="n"/>
      <c r="AD98" s="169" t="n"/>
      <c r="AE98" s="169" t="n"/>
      <c r="AF98" s="169" t="n"/>
      <c r="AG98" s="169" t="n"/>
      <c r="AH98" s="169" t="n"/>
      <c r="AI98" s="169" t="n"/>
      <c r="AJ98" s="169" t="n"/>
      <c r="AK98" s="169" t="n"/>
      <c r="AL98" s="169" t="n"/>
      <c r="AM98" s="169" t="n"/>
      <c r="AN98" s="169" t="n"/>
      <c r="AO98" s="169" t="n"/>
      <c r="AP98" s="169" t="n"/>
      <c r="AQ98" s="169" t="n"/>
      <c r="AR98" s="169" t="n"/>
      <c r="AS98" s="169" t="n"/>
      <c r="AT98" s="169" t="n"/>
      <c r="AU98" s="169" t="n"/>
      <c r="AV98" s="169" t="n"/>
      <c r="AW98" s="169" t="n"/>
      <c r="AX98" s="169" t="n"/>
      <c r="AY98" s="169" t="n"/>
      <c r="AZ98" s="169" t="n"/>
      <c r="BA98" s="169" t="n"/>
      <c r="BB98" s="169" t="n"/>
      <c r="BC98" s="169" t="n"/>
      <c r="BD98" s="169" t="n"/>
      <c r="BE98" s="169" t="n"/>
      <c r="BF98" s="169" t="n"/>
      <c r="BG98" s="169" t="n"/>
      <c r="BH98" s="169" t="n"/>
      <c r="BI98" s="169" t="n"/>
      <c r="BJ98" s="169" t="n"/>
      <c r="BK98" s="169" t="n"/>
      <c r="BL98" s="169" t="n"/>
      <c r="BM98" s="169" t="n"/>
      <c r="BN98" s="169" t="n"/>
      <c r="BO98" s="169" t="n"/>
      <c r="BP98" s="169" t="n"/>
      <c r="BQ98" s="169" t="n"/>
      <c r="BR98" s="169" t="n"/>
      <c r="BS98" s="169" t="n"/>
      <c r="BT98" s="169" t="n"/>
      <c r="BU98" s="169" t="n"/>
      <c r="BV98" s="169" t="n"/>
      <c r="BW98" s="169" t="n"/>
      <c r="BX98" s="169" t="n"/>
      <c r="BY98" s="169" t="n"/>
      <c r="BZ98" s="169" t="n"/>
      <c r="CA98" s="169" t="n"/>
      <c r="CB98" s="169" t="n"/>
      <c r="CC98" s="169" t="n"/>
      <c r="CD98" s="169" t="n"/>
    </row>
    <row r="99">
      <c r="A99" s="83" t="n"/>
      <c r="B99" s="169" t="n"/>
      <c r="C99" s="169" t="n"/>
      <c r="D99" s="169" t="n"/>
      <c r="E99" s="169" t="n"/>
      <c r="F99" s="169" t="n"/>
      <c r="G99" s="169" t="n"/>
      <c r="H99" s="169" t="n"/>
      <c r="I99" s="169" t="n"/>
      <c r="J99" s="169" t="n"/>
      <c r="K99" s="169" t="n"/>
      <c r="L99" s="169" t="n"/>
      <c r="M99" s="169" t="n"/>
      <c r="N99" s="169" t="n"/>
      <c r="O99" s="169" t="n"/>
      <c r="P99" s="169" t="n"/>
      <c r="Q99" s="169" t="n"/>
      <c r="R99" s="169" t="n"/>
      <c r="S99" s="169" t="n"/>
      <c r="T99" s="169" t="n"/>
      <c r="U99" s="169" t="n"/>
      <c r="V99" s="169" t="n"/>
      <c r="W99" s="169" t="n"/>
      <c r="X99" s="169" t="n"/>
      <c r="Y99" s="169" t="n"/>
      <c r="Z99" s="169" t="n"/>
      <c r="AA99" s="169" t="n"/>
      <c r="AB99" s="169" t="n"/>
      <c r="AC99" s="169" t="n"/>
      <c r="AD99" s="169" t="n"/>
      <c r="AE99" s="169" t="n"/>
      <c r="AF99" s="169" t="n"/>
      <c r="AG99" s="169" t="n"/>
      <c r="AH99" s="169" t="n"/>
      <c r="AI99" s="169" t="n"/>
      <c r="AJ99" s="169" t="n"/>
      <c r="AK99" s="169" t="n"/>
      <c r="AL99" s="169" t="n"/>
      <c r="AM99" s="169" t="n"/>
      <c r="AN99" s="169" t="n"/>
      <c r="AO99" s="169" t="n"/>
      <c r="AP99" s="169" t="n"/>
      <c r="AQ99" s="169" t="n"/>
      <c r="AR99" s="169" t="n"/>
      <c r="AS99" s="169" t="n"/>
      <c r="AT99" s="169" t="n"/>
      <c r="AU99" s="169" t="n"/>
      <c r="AV99" s="169" t="n"/>
      <c r="AW99" s="169" t="n"/>
      <c r="AX99" s="169" t="n"/>
      <c r="AY99" s="169" t="n"/>
      <c r="AZ99" s="169" t="n"/>
      <c r="BA99" s="169" t="n"/>
      <c r="BB99" s="169" t="n"/>
      <c r="BC99" s="169" t="n"/>
      <c r="BD99" s="169" t="n"/>
      <c r="BE99" s="169" t="n"/>
      <c r="BF99" s="169" t="n"/>
      <c r="BG99" s="169" t="n"/>
      <c r="BH99" s="169" t="n"/>
      <c r="BI99" s="169" t="n"/>
      <c r="BJ99" s="169" t="n"/>
      <c r="BK99" s="169" t="n"/>
      <c r="BL99" s="169" t="n"/>
      <c r="BM99" s="169" t="n"/>
      <c r="BN99" s="169" t="n"/>
      <c r="BO99" s="169" t="n"/>
      <c r="BP99" s="169" t="n"/>
      <c r="BQ99" s="169" t="n"/>
      <c r="BR99" s="169" t="n"/>
      <c r="BS99" s="169" t="n"/>
      <c r="BT99" s="169" t="n"/>
      <c r="BU99" s="169" t="n"/>
      <c r="BV99" s="169" t="n"/>
      <c r="BW99" s="169" t="n"/>
      <c r="BX99" s="169" t="n"/>
      <c r="BY99" s="169" t="n"/>
      <c r="BZ99" s="169" t="n"/>
      <c r="CA99" s="169" t="n"/>
      <c r="CB99" s="169" t="n"/>
      <c r="CC99" s="169" t="n"/>
      <c r="CD99" s="169" t="n"/>
    </row>
    <row r="100">
      <c r="A100" s="83" t="n"/>
      <c r="B100" s="169" t="n"/>
      <c r="C100" s="169" t="n"/>
      <c r="D100" s="169" t="n"/>
      <c r="E100" s="169" t="n"/>
      <c r="F100" s="169" t="n"/>
      <c r="G100" s="169" t="n"/>
      <c r="H100" s="169" t="n"/>
      <c r="I100" s="169" t="n"/>
      <c r="J100" s="169" t="n"/>
      <c r="K100" s="169" t="n"/>
      <c r="L100" s="169" t="n"/>
      <c r="M100" s="169" t="n"/>
      <c r="N100" s="169" t="n"/>
      <c r="O100" s="169" t="n"/>
      <c r="P100" s="169" t="n"/>
      <c r="Q100" s="169" t="n"/>
      <c r="R100" s="169" t="n"/>
      <c r="S100" s="169" t="n"/>
      <c r="T100" s="169" t="n"/>
      <c r="U100" s="169" t="n"/>
      <c r="V100" s="169" t="n"/>
      <c r="W100" s="169" t="n"/>
      <c r="X100" s="169" t="n"/>
      <c r="Y100" s="169" t="n"/>
      <c r="Z100" s="169" t="n"/>
      <c r="AA100" s="169" t="n"/>
      <c r="AB100" s="169" t="n"/>
      <c r="AC100" s="169" t="n"/>
      <c r="AD100" s="169" t="n"/>
      <c r="AE100" s="169" t="n"/>
      <c r="AF100" s="169" t="n"/>
      <c r="AG100" s="169" t="n"/>
      <c r="AH100" s="169" t="n"/>
      <c r="AI100" s="169" t="n"/>
      <c r="AJ100" s="169" t="n"/>
      <c r="AK100" s="169" t="n"/>
      <c r="AL100" s="169" t="n"/>
      <c r="AM100" s="169" t="n"/>
      <c r="AN100" s="169" t="n"/>
      <c r="AO100" s="169" t="n"/>
      <c r="AP100" s="169" t="n"/>
      <c r="AQ100" s="169" t="n"/>
      <c r="AR100" s="169" t="n"/>
      <c r="AS100" s="169" t="n"/>
      <c r="AT100" s="169" t="n"/>
      <c r="AU100" s="169" t="n"/>
      <c r="AV100" s="169" t="n"/>
      <c r="AW100" s="169" t="n"/>
      <c r="AX100" s="169" t="n"/>
      <c r="AY100" s="169" t="n"/>
      <c r="AZ100" s="169" t="n"/>
      <c r="BA100" s="169" t="n"/>
      <c r="BB100" s="169" t="n"/>
      <c r="BC100" s="169" t="n"/>
      <c r="BD100" s="169" t="n"/>
      <c r="BE100" s="169" t="n"/>
      <c r="BF100" s="169" t="n"/>
      <c r="BG100" s="169" t="n"/>
      <c r="BH100" s="169" t="n"/>
      <c r="BI100" s="169" t="n"/>
      <c r="BJ100" s="169" t="n"/>
      <c r="BK100" s="169" t="n"/>
      <c r="BL100" s="169" t="n"/>
      <c r="BM100" s="169" t="n"/>
      <c r="BN100" s="169" t="n"/>
      <c r="BO100" s="169" t="n"/>
      <c r="BP100" s="169" t="n"/>
      <c r="BQ100" s="169" t="n"/>
      <c r="BR100" s="169" t="n"/>
      <c r="BS100" s="169" t="n"/>
      <c r="BT100" s="169" t="n"/>
      <c r="BU100" s="169" t="n"/>
      <c r="BV100" s="169" t="n"/>
      <c r="BW100" s="169" t="n"/>
      <c r="BX100" s="169" t="n"/>
      <c r="BY100" s="169" t="n"/>
      <c r="BZ100" s="169" t="n"/>
      <c r="CA100" s="169" t="n"/>
      <c r="CB100" s="169" t="n"/>
      <c r="CC100" s="169" t="n"/>
      <c r="CD100" s="169" t="n"/>
    </row>
    <row r="101">
      <c r="A101" s="83" t="n"/>
      <c r="B101" s="169" t="n"/>
      <c r="C101" s="169" t="n"/>
      <c r="D101" s="169" t="n"/>
      <c r="E101" s="169" t="n"/>
      <c r="F101" s="169" t="n"/>
      <c r="G101" s="169" t="n"/>
      <c r="H101" s="169" t="n"/>
      <c r="I101" s="169" t="n"/>
      <c r="J101" s="169" t="n"/>
      <c r="K101" s="169" t="n"/>
      <c r="L101" s="169" t="n"/>
      <c r="M101" s="169" t="n"/>
      <c r="N101" s="169" t="n"/>
      <c r="O101" s="169" t="n"/>
      <c r="P101" s="169" t="n"/>
      <c r="Q101" s="169" t="n"/>
      <c r="R101" s="169" t="n"/>
      <c r="S101" s="169" t="n"/>
      <c r="T101" s="169" t="n"/>
      <c r="U101" s="169" t="n"/>
      <c r="V101" s="169" t="n"/>
      <c r="W101" s="169" t="n"/>
      <c r="X101" s="169" t="n"/>
      <c r="Y101" s="169" t="n"/>
      <c r="Z101" s="169" t="n"/>
      <c r="AA101" s="169" t="n"/>
      <c r="AB101" s="169" t="n"/>
      <c r="AC101" s="169" t="n"/>
      <c r="AD101" s="169" t="n"/>
      <c r="AE101" s="169" t="n"/>
      <c r="AF101" s="169" t="n"/>
      <c r="AG101" s="169" t="n"/>
      <c r="AH101" s="169" t="n"/>
      <c r="AI101" s="169" t="n"/>
      <c r="AJ101" s="169" t="n"/>
      <c r="AK101" s="169" t="n"/>
      <c r="AL101" s="169" t="n"/>
      <c r="AM101" s="169" t="n"/>
      <c r="AN101" s="169" t="n"/>
      <c r="AO101" s="169" t="n"/>
      <c r="AP101" s="169" t="n"/>
      <c r="AQ101" s="169" t="n"/>
      <c r="AR101" s="169" t="n"/>
      <c r="AS101" s="169" t="n"/>
      <c r="AT101" s="169" t="n"/>
      <c r="AU101" s="169" t="n"/>
      <c r="AV101" s="169" t="n"/>
      <c r="AW101" s="169" t="n"/>
      <c r="AX101" s="169" t="n"/>
      <c r="AY101" s="169" t="n"/>
      <c r="AZ101" s="169" t="n"/>
      <c r="BA101" s="169" t="n"/>
      <c r="BB101" s="169" t="n"/>
      <c r="BC101" s="169" t="n"/>
      <c r="BD101" s="169" t="n"/>
      <c r="BE101" s="169" t="n"/>
      <c r="BF101" s="169" t="n"/>
      <c r="BG101" s="169" t="n"/>
      <c r="BH101" s="169" t="n"/>
      <c r="BI101" s="169" t="n"/>
      <c r="BJ101" s="169" t="n"/>
      <c r="BK101" s="169" t="n"/>
      <c r="BL101" s="169" t="n"/>
      <c r="BM101" s="169" t="n"/>
      <c r="BN101" s="169" t="n"/>
      <c r="BO101" s="169" t="n"/>
      <c r="BP101" s="169" t="n"/>
      <c r="BQ101" s="169" t="n"/>
      <c r="BR101" s="169" t="n"/>
      <c r="BS101" s="169" t="n"/>
      <c r="BT101" s="169" t="n"/>
      <c r="BU101" s="169" t="n"/>
      <c r="BV101" s="169" t="n"/>
      <c r="BW101" s="169" t="n"/>
      <c r="BX101" s="169" t="n"/>
      <c r="BY101" s="169" t="n"/>
      <c r="BZ101" s="169" t="n"/>
      <c r="CA101" s="169" t="n"/>
      <c r="CB101" s="169" t="n"/>
      <c r="CC101" s="169" t="n"/>
      <c r="CD101" s="169" t="n"/>
    </row>
    <row r="102">
      <c r="A102" s="83" t="n"/>
      <c r="B102" s="169" t="n"/>
      <c r="C102" s="169" t="n"/>
      <c r="D102" s="169" t="n"/>
      <c r="E102" s="169" t="n"/>
      <c r="F102" s="169" t="n"/>
      <c r="G102" s="169" t="n"/>
      <c r="H102" s="169" t="n"/>
      <c r="I102" s="169" t="n"/>
      <c r="J102" s="169" t="n"/>
      <c r="K102" s="169" t="n"/>
      <c r="L102" s="169" t="n"/>
      <c r="M102" s="169" t="n"/>
      <c r="N102" s="169" t="n"/>
      <c r="O102" s="169" t="n"/>
      <c r="P102" s="169" t="n"/>
      <c r="Q102" s="169" t="n"/>
      <c r="R102" s="169" t="n"/>
      <c r="S102" s="169" t="n"/>
      <c r="T102" s="169" t="n"/>
      <c r="U102" s="169" t="n"/>
      <c r="V102" s="169" t="n"/>
      <c r="W102" s="169" t="n"/>
      <c r="X102" s="169" t="n"/>
      <c r="Y102" s="169" t="n"/>
      <c r="Z102" s="169" t="n"/>
      <c r="AA102" s="169" t="n"/>
      <c r="AB102" s="169" t="n"/>
      <c r="AC102" s="169" t="n"/>
      <c r="AD102" s="169" t="n"/>
      <c r="AE102" s="169" t="n"/>
      <c r="AF102" s="169" t="n"/>
      <c r="AG102" s="169" t="n"/>
      <c r="AH102" s="169" t="n"/>
      <c r="AI102" s="169" t="n"/>
      <c r="AJ102" s="169" t="n"/>
      <c r="AK102" s="169" t="n"/>
      <c r="AL102" s="169" t="n"/>
      <c r="AM102" s="169" t="n"/>
      <c r="AN102" s="169" t="n"/>
      <c r="AO102" s="169" t="n"/>
      <c r="AP102" s="169" t="n"/>
      <c r="AQ102" s="169" t="n"/>
      <c r="AR102" s="169" t="n"/>
      <c r="AS102" s="169" t="n"/>
      <c r="AT102" s="169" t="n"/>
      <c r="AU102" s="169" t="n"/>
      <c r="AV102" s="169" t="n"/>
      <c r="AW102" s="169" t="n"/>
      <c r="AX102" s="169" t="n"/>
      <c r="AY102" s="169" t="n"/>
      <c r="AZ102" s="169" t="n"/>
      <c r="BA102" s="169" t="n"/>
      <c r="BB102" s="169" t="n"/>
      <c r="BC102" s="169" t="n"/>
      <c r="BD102" s="169" t="n"/>
      <c r="BE102" s="169" t="n"/>
      <c r="BF102" s="169" t="n"/>
      <c r="BG102" s="169" t="n"/>
      <c r="BH102" s="169" t="n"/>
      <c r="BI102" s="169" t="n"/>
      <c r="BJ102" s="169" t="n"/>
      <c r="BK102" s="169" t="n"/>
      <c r="BL102" s="169" t="n"/>
      <c r="BM102" s="169" t="n"/>
      <c r="BN102" s="169" t="n"/>
      <c r="BO102" s="169" t="n"/>
      <c r="BP102" s="169" t="n"/>
      <c r="BQ102" s="169" t="n"/>
      <c r="BR102" s="169" t="n"/>
      <c r="BS102" s="169" t="n"/>
      <c r="BT102" s="169" t="n"/>
      <c r="BU102" s="169" t="n"/>
      <c r="BV102" s="169" t="n"/>
      <c r="BW102" s="169" t="n"/>
      <c r="BX102" s="169" t="n"/>
      <c r="BY102" s="169" t="n"/>
      <c r="BZ102" s="169" t="n"/>
      <c r="CA102" s="169" t="n"/>
      <c r="CB102" s="169" t="n"/>
      <c r="CC102" s="169" t="n"/>
      <c r="CD102" s="169" t="n"/>
    </row>
    <row r="103">
      <c r="A103" s="83" t="n"/>
      <c r="B103" s="169" t="n"/>
      <c r="C103" s="169" t="n"/>
      <c r="D103" s="169" t="n"/>
      <c r="E103" s="169" t="n"/>
      <c r="F103" s="169" t="n"/>
      <c r="G103" s="169" t="n"/>
      <c r="H103" s="169" t="n"/>
      <c r="I103" s="169" t="n"/>
      <c r="J103" s="169" t="n"/>
      <c r="K103" s="169" t="n"/>
      <c r="L103" s="169" t="n"/>
      <c r="M103" s="169" t="n"/>
      <c r="N103" s="169" t="n"/>
      <c r="O103" s="169" t="n"/>
      <c r="P103" s="169" t="n"/>
      <c r="Q103" s="169" t="n"/>
      <c r="R103" s="169" t="n"/>
      <c r="S103" s="169" t="n"/>
      <c r="T103" s="169" t="n"/>
      <c r="U103" s="169" t="n"/>
      <c r="V103" s="169" t="n"/>
      <c r="W103" s="169" t="n"/>
      <c r="X103" s="169" t="n"/>
      <c r="Y103" s="169" t="n"/>
      <c r="Z103" s="169" t="n"/>
      <c r="AA103" s="169" t="n"/>
      <c r="AB103" s="169" t="n"/>
      <c r="AC103" s="169" t="n"/>
      <c r="AD103" s="169" t="n"/>
      <c r="AE103" s="169" t="n"/>
      <c r="AF103" s="169" t="n"/>
      <c r="AG103" s="169" t="n"/>
      <c r="AH103" s="169" t="n"/>
      <c r="AI103" s="169" t="n"/>
      <c r="AJ103" s="169" t="n"/>
      <c r="AK103" s="169" t="n"/>
      <c r="AL103" s="169" t="n"/>
      <c r="AM103" s="169" t="n"/>
      <c r="AN103" s="169" t="n"/>
      <c r="AO103" s="169" t="n"/>
      <c r="AP103" s="169" t="n"/>
      <c r="AQ103" s="169" t="n"/>
      <c r="AR103" s="169" t="n"/>
      <c r="AS103" s="169" t="n"/>
      <c r="AT103" s="169" t="n"/>
      <c r="AU103" s="169" t="n"/>
      <c r="AV103" s="169" t="n"/>
      <c r="AW103" s="169" t="n"/>
      <c r="AX103" s="169" t="n"/>
      <c r="AY103" s="169" t="n"/>
      <c r="AZ103" s="169" t="n"/>
      <c r="BA103" s="169" t="n"/>
      <c r="BB103" s="169" t="n"/>
      <c r="BC103" s="169" t="n"/>
      <c r="BD103" s="169" t="n"/>
      <c r="BE103" s="169" t="n"/>
      <c r="BF103" s="169" t="n"/>
      <c r="BG103" s="169" t="n"/>
      <c r="BH103" s="169" t="n"/>
      <c r="BI103" s="169" t="n"/>
      <c r="BJ103" s="169" t="n"/>
      <c r="BK103" s="169" t="n"/>
      <c r="BL103" s="169" t="n"/>
      <c r="BM103" s="169" t="n"/>
      <c r="BN103" s="169" t="n"/>
      <c r="BO103" s="169" t="n"/>
      <c r="BP103" s="169" t="n"/>
      <c r="BQ103" s="169" t="n"/>
      <c r="BR103" s="169" t="n"/>
      <c r="BS103" s="169" t="n"/>
      <c r="BT103" s="169" t="n"/>
      <c r="BU103" s="169" t="n"/>
      <c r="BV103" s="169" t="n"/>
      <c r="BW103" s="169" t="n"/>
      <c r="BX103" s="169" t="n"/>
      <c r="BY103" s="169" t="n"/>
      <c r="BZ103" s="169" t="n"/>
      <c r="CA103" s="169" t="n"/>
      <c r="CB103" s="169" t="n"/>
      <c r="CC103" s="169" t="n"/>
      <c r="CD103" s="169" t="n"/>
    </row>
    <row r="104">
      <c r="A104" s="83" t="n"/>
      <c r="B104" s="169" t="n"/>
      <c r="C104" s="169" t="n"/>
      <c r="D104" s="169" t="n"/>
      <c r="E104" s="169" t="n"/>
      <c r="F104" s="169" t="n"/>
      <c r="G104" s="169" t="n"/>
      <c r="H104" s="169" t="n"/>
      <c r="I104" s="169" t="n"/>
      <c r="J104" s="169" t="n"/>
      <c r="K104" s="169" t="n"/>
      <c r="L104" s="169" t="n"/>
      <c r="M104" s="169" t="n"/>
      <c r="N104" s="169" t="n"/>
      <c r="O104" s="169" t="n"/>
      <c r="P104" s="169" t="n"/>
      <c r="Q104" s="169" t="n"/>
      <c r="R104" s="169" t="n"/>
      <c r="S104" s="169" t="n"/>
      <c r="T104" s="169" t="n"/>
      <c r="U104" s="169" t="n"/>
      <c r="V104" s="169" t="n"/>
      <c r="W104" s="169" t="n"/>
      <c r="X104" s="169" t="n"/>
      <c r="Y104" s="169" t="n"/>
      <c r="Z104" s="169" t="n"/>
      <c r="AA104" s="169" t="n"/>
      <c r="AB104" s="169" t="n"/>
      <c r="AC104" s="169" t="n"/>
      <c r="AD104" s="169" t="n"/>
      <c r="AE104" s="169" t="n"/>
      <c r="AF104" s="169" t="n"/>
      <c r="AG104" s="169" t="n"/>
      <c r="AH104" s="169" t="n"/>
      <c r="AI104" s="169" t="n"/>
      <c r="AJ104" s="169" t="n"/>
      <c r="AK104" s="169" t="n"/>
      <c r="AL104" s="169" t="n"/>
      <c r="AM104" s="169" t="n"/>
      <c r="AN104" s="169" t="n"/>
      <c r="AO104" s="169" t="n"/>
      <c r="AP104" s="169" t="n"/>
      <c r="AQ104" s="169" t="n"/>
      <c r="AR104" s="169" t="n"/>
      <c r="AS104" s="169" t="n"/>
      <c r="AT104" s="169" t="n"/>
      <c r="AU104" s="169" t="n"/>
      <c r="AV104" s="169" t="n"/>
      <c r="AW104" s="169" t="n"/>
      <c r="AX104" s="169" t="n"/>
      <c r="AY104" s="169" t="n"/>
      <c r="AZ104" s="169" t="n"/>
      <c r="BA104" s="169" t="n"/>
      <c r="BB104" s="169" t="n"/>
      <c r="BC104" s="169" t="n"/>
      <c r="BD104" s="169" t="n"/>
      <c r="BE104" s="169" t="n"/>
      <c r="BF104" s="169" t="n"/>
      <c r="BG104" s="169" t="n"/>
      <c r="BH104" s="169" t="n"/>
      <c r="BI104" s="169" t="n"/>
      <c r="BJ104" s="169" t="n"/>
      <c r="BK104" s="169" t="n"/>
      <c r="BL104" s="169" t="n"/>
      <c r="BM104" s="169" t="n"/>
      <c r="BN104" s="169" t="n"/>
      <c r="BO104" s="169" t="n"/>
      <c r="BP104" s="169" t="n"/>
      <c r="BQ104" s="169" t="n"/>
      <c r="BR104" s="169" t="n"/>
      <c r="BS104" s="169" t="n"/>
      <c r="BT104" s="169" t="n"/>
      <c r="BU104" s="169" t="n"/>
      <c r="BV104" s="169" t="n"/>
      <c r="BW104" s="169" t="n"/>
      <c r="BX104" s="169" t="n"/>
      <c r="BY104" s="169" t="n"/>
      <c r="BZ104" s="169" t="n"/>
      <c r="CA104" s="169" t="n"/>
      <c r="CB104" s="169" t="n"/>
      <c r="CC104" s="169" t="n"/>
      <c r="CD104" s="169" t="n"/>
    </row>
    <row r="105">
      <c r="A105" s="83" t="n"/>
      <c r="B105" s="169" t="n"/>
      <c r="C105" s="169" t="n"/>
      <c r="D105" s="169" t="n"/>
      <c r="E105" s="169" t="n"/>
      <c r="F105" s="169" t="n"/>
      <c r="G105" s="169" t="n"/>
      <c r="H105" s="169" t="n"/>
      <c r="I105" s="169" t="n"/>
      <c r="J105" s="169" t="n"/>
      <c r="K105" s="169" t="n"/>
      <c r="L105" s="169" t="n"/>
      <c r="M105" s="169" t="n"/>
      <c r="N105" s="169" t="n"/>
      <c r="O105" s="169" t="n"/>
      <c r="P105" s="169" t="n"/>
      <c r="Q105" s="169" t="n"/>
      <c r="R105" s="169" t="n"/>
      <c r="S105" s="169" t="n"/>
      <c r="T105" s="169" t="n"/>
      <c r="U105" s="169" t="n"/>
      <c r="V105" s="169" t="n"/>
      <c r="W105" s="169" t="n"/>
      <c r="X105" s="169" t="n"/>
      <c r="Y105" s="169" t="n"/>
      <c r="Z105" s="169" t="n"/>
      <c r="AA105" s="169" t="n"/>
      <c r="AB105" s="169" t="n"/>
      <c r="AC105" s="169" t="n"/>
      <c r="AD105" s="169" t="n"/>
      <c r="AE105" s="169" t="n"/>
      <c r="AF105" s="169" t="n"/>
      <c r="AG105" s="169" t="n"/>
      <c r="AH105" s="169" t="n"/>
      <c r="AI105" s="169" t="n"/>
      <c r="AJ105" s="169" t="n"/>
      <c r="AK105" s="169" t="n"/>
      <c r="AL105" s="169" t="n"/>
      <c r="AM105" s="169" t="n"/>
      <c r="AN105" s="169" t="n"/>
      <c r="AO105" s="169" t="n"/>
      <c r="AP105" s="169" t="n"/>
      <c r="AQ105" s="169" t="n"/>
      <c r="AR105" s="169" t="n"/>
      <c r="AS105" s="169" t="n"/>
      <c r="AT105" s="169" t="n"/>
      <c r="AU105" s="169" t="n"/>
      <c r="AV105" s="169" t="n"/>
      <c r="AW105" s="169" t="n"/>
      <c r="AX105" s="169" t="n"/>
      <c r="AY105" s="169" t="n"/>
      <c r="AZ105" s="169" t="n"/>
      <c r="BA105" s="169" t="n"/>
      <c r="BB105" s="169" t="n"/>
      <c r="BC105" s="169" t="n"/>
      <c r="BD105" s="169" t="n"/>
      <c r="BE105" s="169" t="n"/>
      <c r="BF105" s="169" t="n"/>
      <c r="BG105" s="169" t="n"/>
      <c r="BH105" s="169" t="n"/>
      <c r="BI105" s="169" t="n"/>
      <c r="BJ105" s="169" t="n"/>
      <c r="BK105" s="169" t="n"/>
      <c r="BL105" s="169" t="n"/>
      <c r="BM105" s="169" t="n"/>
      <c r="BN105" s="169" t="n"/>
      <c r="BO105" s="169" t="n"/>
      <c r="BP105" s="169" t="n"/>
      <c r="BQ105" s="169" t="n"/>
      <c r="BR105" s="169" t="n"/>
      <c r="BS105" s="169" t="n"/>
      <c r="BT105" s="169" t="n"/>
      <c r="BU105" s="169" t="n"/>
      <c r="BV105" s="169" t="n"/>
      <c r="BW105" s="169" t="n"/>
      <c r="BX105" s="169" t="n"/>
      <c r="BY105" s="169" t="n"/>
      <c r="BZ105" s="169" t="n"/>
      <c r="CA105" s="169" t="n"/>
      <c r="CB105" s="169" t="n"/>
      <c r="CC105" s="169" t="n"/>
      <c r="CD105" s="169" t="n"/>
    </row>
    <row r="106">
      <c r="A106" s="83" t="n"/>
      <c r="B106" s="169" t="n"/>
      <c r="C106" s="169" t="n"/>
      <c r="D106" s="169" t="n"/>
      <c r="E106" s="169" t="n"/>
      <c r="F106" s="169" t="n"/>
      <c r="G106" s="169" t="n"/>
      <c r="H106" s="169" t="n"/>
      <c r="I106" s="169" t="n"/>
      <c r="J106" s="169" t="n"/>
      <c r="K106" s="169" t="n"/>
      <c r="L106" s="169" t="n"/>
      <c r="M106" s="169" t="n"/>
      <c r="N106" s="169" t="n"/>
      <c r="O106" s="169" t="n"/>
      <c r="P106" s="169" t="n"/>
      <c r="Q106" s="169" t="n"/>
      <c r="R106" s="169" t="n"/>
      <c r="S106" s="169" t="n"/>
      <c r="T106" s="169" t="n"/>
      <c r="U106" s="169" t="n"/>
      <c r="V106" s="169" t="n"/>
      <c r="W106" s="169" t="n"/>
      <c r="X106" s="169" t="n"/>
      <c r="Y106" s="169" t="n"/>
      <c r="Z106" s="169" t="n"/>
      <c r="AA106" s="169" t="n"/>
      <c r="AB106" s="169" t="n"/>
      <c r="AC106" s="169" t="n"/>
      <c r="AD106" s="169" t="n"/>
      <c r="AE106" s="169" t="n"/>
      <c r="AF106" s="169" t="n"/>
      <c r="AG106" s="169" t="n"/>
      <c r="AH106" s="169" t="n"/>
      <c r="AI106" s="169" t="n"/>
      <c r="AJ106" s="169" t="n"/>
      <c r="AK106" s="169" t="n"/>
      <c r="AL106" s="169" t="n"/>
      <c r="AM106" s="169" t="n"/>
      <c r="AN106" s="169" t="n"/>
      <c r="AO106" s="169" t="n"/>
      <c r="AP106" s="169" t="n"/>
      <c r="AQ106" s="169" t="n"/>
      <c r="AR106" s="169" t="n"/>
      <c r="AS106" s="169" t="n"/>
      <c r="AT106" s="169" t="n"/>
      <c r="AU106" s="169" t="n"/>
      <c r="AV106" s="169" t="n"/>
      <c r="AW106" s="169" t="n"/>
      <c r="AX106" s="169" t="n"/>
      <c r="AY106" s="169" t="n"/>
      <c r="AZ106" s="169" t="n"/>
      <c r="BA106" s="169" t="n"/>
      <c r="BB106" s="169" t="n"/>
      <c r="BC106" s="169" t="n"/>
      <c r="BD106" s="169" t="n"/>
      <c r="BE106" s="169" t="n"/>
      <c r="BF106" s="169" t="n"/>
      <c r="BG106" s="169" t="n"/>
      <c r="BH106" s="169" t="n"/>
      <c r="BI106" s="169" t="n"/>
      <c r="BJ106" s="169" t="n"/>
      <c r="BK106" s="169" t="n"/>
      <c r="BL106" s="169" t="n"/>
      <c r="BM106" s="169" t="n"/>
      <c r="BN106" s="169" t="n"/>
      <c r="BO106" s="169" t="n"/>
      <c r="BP106" s="169" t="n"/>
      <c r="BQ106" s="169" t="n"/>
      <c r="BR106" s="169" t="n"/>
      <c r="BS106" s="169" t="n"/>
      <c r="BT106" s="169" t="n"/>
      <c r="BU106" s="169" t="n"/>
      <c r="BV106" s="169" t="n"/>
      <c r="BW106" s="169" t="n"/>
      <c r="BX106" s="169" t="n"/>
      <c r="BY106" s="169" t="n"/>
      <c r="BZ106" s="169" t="n"/>
      <c r="CA106" s="169" t="n"/>
      <c r="CB106" s="169" t="n"/>
      <c r="CC106" s="169" t="n"/>
      <c r="CD106" s="169" t="n"/>
    </row>
    <row r="107">
      <c r="A107" s="83" t="n"/>
      <c r="B107" s="169" t="n"/>
      <c r="C107" s="169" t="n"/>
      <c r="D107" s="169" t="n"/>
      <c r="E107" s="169" t="n"/>
      <c r="F107" s="169" t="n"/>
      <c r="G107" s="169" t="n"/>
      <c r="H107" s="169" t="n"/>
      <c r="I107" s="169" t="n"/>
      <c r="J107" s="169" t="n"/>
      <c r="K107" s="169" t="n"/>
      <c r="L107" s="169" t="n"/>
      <c r="M107" s="169" t="n"/>
      <c r="N107" s="169" t="n"/>
      <c r="O107" s="169" t="n"/>
      <c r="P107" s="169" t="n"/>
      <c r="Q107" s="169" t="n"/>
      <c r="R107" s="169" t="n"/>
      <c r="S107" s="169" t="n"/>
      <c r="T107" s="169" t="n"/>
      <c r="U107" s="169" t="n"/>
      <c r="V107" s="169" t="n"/>
      <c r="W107" s="169" t="n"/>
      <c r="X107" s="169" t="n"/>
      <c r="Y107" s="169" t="n"/>
      <c r="Z107" s="169" t="n"/>
      <c r="AA107" s="169" t="n"/>
      <c r="AB107" s="169" t="n"/>
      <c r="AC107" s="169" t="n"/>
      <c r="AD107" s="169" t="n"/>
      <c r="AE107" s="169" t="n"/>
      <c r="AF107" s="169" t="n"/>
      <c r="AG107" s="169" t="n"/>
      <c r="AH107" s="169" t="n"/>
      <c r="AI107" s="169" t="n"/>
      <c r="AJ107" s="169" t="n"/>
      <c r="AK107" s="169" t="n"/>
      <c r="AL107" s="169" t="n"/>
      <c r="AM107" s="169" t="n"/>
      <c r="AN107" s="169" t="n"/>
      <c r="AO107" s="169" t="n"/>
      <c r="AP107" s="169" t="n"/>
      <c r="AQ107" s="169" t="n"/>
      <c r="AR107" s="169" t="n"/>
      <c r="AS107" s="169" t="n"/>
      <c r="AT107" s="169" t="n"/>
      <c r="AU107" s="169" t="n"/>
      <c r="AV107" s="169" t="n"/>
      <c r="AW107" s="169" t="n"/>
      <c r="AX107" s="169" t="n"/>
      <c r="AY107" s="169" t="n"/>
      <c r="AZ107" s="169" t="n"/>
      <c r="BA107" s="169" t="n"/>
      <c r="BB107" s="169" t="n"/>
      <c r="BC107" s="169" t="n"/>
      <c r="BD107" s="169" t="n"/>
      <c r="BE107" s="169" t="n"/>
      <c r="BF107" s="169" t="n"/>
      <c r="BG107" s="169" t="n"/>
      <c r="BH107" s="169" t="n"/>
      <c r="BI107" s="169" t="n"/>
      <c r="BJ107" s="169" t="n"/>
      <c r="BK107" s="169" t="n"/>
      <c r="BL107" s="169" t="n"/>
      <c r="BM107" s="169" t="n"/>
      <c r="BN107" s="169" t="n"/>
      <c r="BO107" s="169" t="n"/>
      <c r="BP107" s="169" t="n"/>
      <c r="BQ107" s="169" t="n"/>
      <c r="BR107" s="169" t="n"/>
      <c r="BS107" s="169" t="n"/>
      <c r="BT107" s="169" t="n"/>
      <c r="BU107" s="169" t="n"/>
      <c r="BV107" s="169" t="n"/>
      <c r="BW107" s="169" t="n"/>
      <c r="BX107" s="169" t="n"/>
      <c r="BY107" s="169" t="n"/>
      <c r="BZ107" s="169" t="n"/>
      <c r="CA107" s="169" t="n"/>
      <c r="CB107" s="169" t="n"/>
      <c r="CC107" s="169" t="n"/>
      <c r="CD107" s="169" t="n"/>
    </row>
    <row r="108">
      <c r="A108" s="83" t="n"/>
      <c r="B108" s="169" t="n"/>
      <c r="C108" s="169" t="n"/>
      <c r="D108" s="169" t="n"/>
      <c r="E108" s="169" t="n"/>
      <c r="F108" s="169" t="n"/>
      <c r="G108" s="169" t="n"/>
      <c r="H108" s="169" t="n"/>
      <c r="I108" s="169" t="n"/>
      <c r="J108" s="169" t="n"/>
      <c r="K108" s="169" t="n"/>
      <c r="L108" s="169" t="n"/>
      <c r="M108" s="169" t="n"/>
      <c r="N108" s="169" t="n"/>
      <c r="O108" s="169" t="n"/>
      <c r="P108" s="169" t="n"/>
      <c r="Q108" s="169" t="n"/>
      <c r="R108" s="169" t="n"/>
      <c r="S108" s="169" t="n"/>
      <c r="T108" s="169" t="n"/>
      <c r="U108" s="169" t="n"/>
      <c r="V108" s="169" t="n"/>
      <c r="W108" s="169" t="n"/>
      <c r="X108" s="169" t="n"/>
      <c r="Y108" s="169" t="n"/>
      <c r="Z108" s="169" t="n"/>
      <c r="AA108" s="169" t="n"/>
      <c r="AB108" s="169" t="n"/>
      <c r="AC108" s="169" t="n"/>
      <c r="AD108" s="169" t="n"/>
      <c r="AE108" s="169" t="n"/>
      <c r="AF108" s="169" t="n"/>
      <c r="AG108" s="169" t="n"/>
      <c r="AH108" s="169" t="n"/>
      <c r="AI108" s="169" t="n"/>
      <c r="AJ108" s="169" t="n"/>
      <c r="AK108" s="169" t="n"/>
      <c r="AL108" s="169" t="n"/>
      <c r="AM108" s="169" t="n"/>
      <c r="AN108" s="169" t="n"/>
      <c r="AO108" s="169" t="n"/>
      <c r="AP108" s="169" t="n"/>
      <c r="AQ108" s="169" t="n"/>
      <c r="AR108" s="169" t="n"/>
      <c r="AS108" s="169" t="n"/>
      <c r="AT108" s="169" t="n"/>
      <c r="AU108" s="169" t="n"/>
      <c r="AV108" s="169" t="n"/>
      <c r="AW108" s="169" t="n"/>
      <c r="AX108" s="169" t="n"/>
      <c r="AY108" s="169" t="n"/>
      <c r="AZ108" s="169" t="n"/>
      <c r="BA108" s="169" t="n"/>
      <c r="BB108" s="169" t="n"/>
      <c r="BC108" s="169" t="n"/>
      <c r="BD108" s="169" t="n"/>
      <c r="BE108" s="169" t="n"/>
      <c r="BF108" s="169" t="n"/>
      <c r="BG108" s="169" t="n"/>
      <c r="BH108" s="169" t="n"/>
      <c r="BI108" s="169" t="n"/>
      <c r="BJ108" s="169" t="n"/>
      <c r="BK108" s="169" t="n"/>
      <c r="BL108" s="169" t="n"/>
      <c r="BM108" s="169" t="n"/>
      <c r="BN108" s="169" t="n"/>
      <c r="BO108" s="169" t="n"/>
      <c r="BP108" s="169" t="n"/>
      <c r="BQ108" s="169" t="n"/>
      <c r="BR108" s="169" t="n"/>
      <c r="BS108" s="169" t="n"/>
      <c r="BT108" s="169" t="n"/>
      <c r="BU108" s="169" t="n"/>
      <c r="BV108" s="169" t="n"/>
      <c r="BW108" s="169" t="n"/>
      <c r="BX108" s="169" t="n"/>
      <c r="BY108" s="169" t="n"/>
      <c r="BZ108" s="169" t="n"/>
      <c r="CA108" s="169" t="n"/>
      <c r="CB108" s="169" t="n"/>
      <c r="CC108" s="169" t="n"/>
      <c r="CD108" s="169" t="n"/>
    </row>
    <row r="109">
      <c r="A109" s="83" t="n"/>
      <c r="B109" s="169" t="n"/>
      <c r="C109" s="169" t="n"/>
      <c r="D109" s="169" t="n"/>
      <c r="E109" s="169" t="n"/>
      <c r="F109" s="169" t="n"/>
      <c r="G109" s="169" t="n"/>
      <c r="H109" s="169" t="n"/>
      <c r="I109" s="169" t="n"/>
      <c r="J109" s="169" t="n"/>
      <c r="K109" s="169" t="n"/>
      <c r="L109" s="169" t="n"/>
      <c r="M109" s="169" t="n"/>
      <c r="N109" s="169" t="n"/>
      <c r="O109" s="169" t="n"/>
      <c r="P109" s="169" t="n"/>
      <c r="Q109" s="169" t="n"/>
      <c r="R109" s="169" t="n"/>
      <c r="S109" s="169" t="n"/>
      <c r="T109" s="169" t="n"/>
      <c r="U109" s="169" t="n"/>
      <c r="V109" s="169" t="n"/>
      <c r="W109" s="169" t="n"/>
      <c r="X109" s="169" t="n"/>
      <c r="Y109" s="169" t="n"/>
      <c r="Z109" s="169" t="n"/>
      <c r="AA109" s="169" t="n"/>
      <c r="AB109" s="169" t="n"/>
      <c r="AC109" s="169" t="n"/>
      <c r="AD109" s="169" t="n"/>
      <c r="AE109" s="169" t="n"/>
      <c r="AF109" s="169" t="n"/>
      <c r="AG109" s="169" t="n"/>
      <c r="AH109" s="169" t="n"/>
      <c r="AI109" s="169" t="n"/>
      <c r="AJ109" s="169" t="n"/>
      <c r="AK109" s="169" t="n"/>
      <c r="AL109" s="169" t="n"/>
      <c r="AM109" s="169" t="n"/>
      <c r="AN109" s="169" t="n"/>
      <c r="AO109" s="169" t="n"/>
      <c r="AP109" s="169" t="n"/>
      <c r="AQ109" s="169" t="n"/>
      <c r="AR109" s="169" t="n"/>
      <c r="AS109" s="169" t="n"/>
      <c r="AT109" s="169" t="n"/>
      <c r="AU109" s="169" t="n"/>
      <c r="AV109" s="169" t="n"/>
      <c r="AW109" s="169" t="n"/>
      <c r="AX109" s="169" t="n"/>
      <c r="AY109" s="169" t="n"/>
      <c r="AZ109" s="169" t="n"/>
      <c r="BA109" s="169" t="n"/>
      <c r="BB109" s="169" t="n"/>
      <c r="BC109" s="169" t="n"/>
      <c r="BD109" s="169" t="n"/>
      <c r="BE109" s="169" t="n"/>
      <c r="BF109" s="169" t="n"/>
      <c r="BG109" s="169" t="n"/>
      <c r="BH109" s="169" t="n"/>
      <c r="BI109" s="169" t="n"/>
      <c r="BJ109" s="169" t="n"/>
      <c r="BK109" s="169" t="n"/>
      <c r="BL109" s="169" t="n"/>
      <c r="BM109" s="169" t="n"/>
      <c r="BN109" s="169" t="n"/>
      <c r="BO109" s="169" t="n"/>
      <c r="BP109" s="169" t="n"/>
      <c r="BQ109" s="169" t="n"/>
      <c r="BR109" s="169" t="n"/>
      <c r="BS109" s="169" t="n"/>
      <c r="BT109" s="169" t="n"/>
      <c r="BU109" s="169" t="n"/>
      <c r="BV109" s="169" t="n"/>
      <c r="BW109" s="169" t="n"/>
      <c r="BX109" s="169" t="n"/>
      <c r="BY109" s="169" t="n"/>
      <c r="BZ109" s="169" t="n"/>
      <c r="CA109" s="169" t="n"/>
      <c r="CB109" s="169" t="n"/>
      <c r="CC109" s="169" t="n"/>
      <c r="CD109" s="169" t="n"/>
    </row>
    <row r="110">
      <c r="A110" s="83" t="n"/>
      <c r="B110" s="169" t="n"/>
      <c r="C110" s="169" t="n"/>
      <c r="D110" s="169" t="n"/>
      <c r="E110" s="169" t="n"/>
      <c r="F110" s="169" t="n"/>
      <c r="G110" s="169" t="n"/>
      <c r="H110" s="169" t="n"/>
      <c r="I110" s="169" t="n"/>
      <c r="J110" s="169" t="n"/>
      <c r="K110" s="169" t="n"/>
      <c r="L110" s="169" t="n"/>
      <c r="M110" s="169" t="n"/>
      <c r="N110" s="169" t="n"/>
      <c r="O110" s="169" t="n"/>
      <c r="P110" s="169" t="n"/>
      <c r="Q110" s="169" t="n"/>
      <c r="R110" s="169" t="n"/>
      <c r="S110" s="169" t="n"/>
      <c r="T110" s="169" t="n"/>
      <c r="U110" s="169" t="n"/>
      <c r="V110" s="169" t="n"/>
      <c r="W110" s="169" t="n"/>
      <c r="X110" s="169" t="n"/>
      <c r="Y110" s="169" t="n"/>
      <c r="Z110" s="169" t="n"/>
      <c r="AA110" s="169" t="n"/>
      <c r="AB110" s="169" t="n"/>
      <c r="AC110" s="169" t="n"/>
      <c r="AD110" s="169" t="n"/>
      <c r="AE110" s="169" t="n"/>
      <c r="AF110" s="169" t="n"/>
      <c r="AG110" s="169" t="n"/>
      <c r="AH110" s="169" t="n"/>
      <c r="AI110" s="169" t="n"/>
      <c r="AJ110" s="169" t="n"/>
      <c r="AK110" s="169" t="n"/>
      <c r="AL110" s="169" t="n"/>
      <c r="AM110" s="169" t="n"/>
      <c r="AN110" s="169" t="n"/>
      <c r="AO110" s="169" t="n"/>
      <c r="AP110" s="169" t="n"/>
      <c r="AQ110" s="169" t="n"/>
      <c r="AR110" s="169" t="n"/>
      <c r="AS110" s="169" t="n"/>
      <c r="AT110" s="169" t="n"/>
      <c r="AU110" s="169" t="n"/>
      <c r="AV110" s="169" t="n"/>
      <c r="AW110" s="169" t="n"/>
      <c r="AX110" s="169" t="n"/>
      <c r="AY110" s="169" t="n"/>
      <c r="AZ110" s="169" t="n"/>
      <c r="BA110" s="169" t="n"/>
      <c r="BB110" s="169" t="n"/>
      <c r="BC110" s="169" t="n"/>
      <c r="BD110" s="169" t="n"/>
      <c r="BE110" s="169" t="n"/>
      <c r="BF110" s="169" t="n"/>
      <c r="BG110" s="169" t="n"/>
      <c r="BH110" s="169" t="n"/>
      <c r="BI110" s="169" t="n"/>
      <c r="BJ110" s="169" t="n"/>
      <c r="BK110" s="169" t="n"/>
      <c r="BL110" s="169" t="n"/>
      <c r="BM110" s="169" t="n"/>
      <c r="BN110" s="169" t="n"/>
      <c r="BO110" s="169" t="n"/>
      <c r="BP110" s="169" t="n"/>
      <c r="BQ110" s="169" t="n"/>
      <c r="BR110" s="169" t="n"/>
      <c r="BS110" s="169" t="n"/>
      <c r="BT110" s="169" t="n"/>
      <c r="BU110" s="169" t="n"/>
      <c r="BV110" s="169" t="n"/>
      <c r="BW110" s="169" t="n"/>
      <c r="BX110" s="169" t="n"/>
      <c r="BY110" s="169" t="n"/>
      <c r="BZ110" s="169" t="n"/>
      <c r="CA110" s="169" t="n"/>
      <c r="CB110" s="169" t="n"/>
      <c r="CC110" s="169" t="n"/>
      <c r="CD110" s="169" t="n"/>
    </row>
    <row r="111">
      <c r="A111" s="83" t="n"/>
      <c r="B111" s="169" t="n"/>
      <c r="C111" s="169" t="n"/>
      <c r="D111" s="169" t="n"/>
      <c r="E111" s="169" t="n"/>
      <c r="F111" s="169" t="n"/>
      <c r="G111" s="169" t="n"/>
      <c r="H111" s="169" t="n"/>
      <c r="I111" s="169" t="n"/>
      <c r="J111" s="169" t="n"/>
      <c r="K111" s="169" t="n"/>
      <c r="L111" s="169" t="n"/>
      <c r="M111" s="169" t="n"/>
      <c r="N111" s="169" t="n"/>
      <c r="O111" s="169" t="n"/>
      <c r="P111" s="169" t="n"/>
      <c r="Q111" s="169" t="n"/>
      <c r="R111" s="169" t="n"/>
      <c r="S111" s="169" t="n"/>
      <c r="T111" s="169" t="n"/>
      <c r="U111" s="169" t="n"/>
      <c r="V111" s="169" t="n"/>
      <c r="W111" s="169" t="n"/>
      <c r="X111" s="169" t="n"/>
      <c r="Y111" s="169" t="n"/>
      <c r="Z111" s="169" t="n"/>
      <c r="AA111" s="169" t="n"/>
      <c r="AB111" s="169" t="n"/>
      <c r="AC111" s="169" t="n"/>
      <c r="AD111" s="169" t="n"/>
      <c r="AE111" s="169" t="n"/>
      <c r="AF111" s="169" t="n"/>
      <c r="AG111" s="169" t="n"/>
      <c r="AH111" s="169" t="n"/>
      <c r="AI111" s="169" t="n"/>
      <c r="AJ111" s="169" t="n"/>
      <c r="AK111" s="169" t="n"/>
      <c r="AL111" s="169" t="n"/>
      <c r="AM111" s="169" t="n"/>
      <c r="AN111" s="169" t="n"/>
      <c r="AO111" s="169" t="n"/>
      <c r="AP111" s="169" t="n"/>
      <c r="AQ111" s="169" t="n"/>
      <c r="AR111" s="169" t="n"/>
      <c r="AS111" s="169" t="n"/>
      <c r="AT111" s="169" t="n"/>
      <c r="AU111" s="169" t="n"/>
      <c r="AV111" s="169" t="n"/>
      <c r="AW111" s="169" t="n"/>
      <c r="AX111" s="169" t="n"/>
      <c r="AY111" s="169" t="n"/>
      <c r="AZ111" s="169" t="n"/>
      <c r="BA111" s="169" t="n"/>
      <c r="BB111" s="169" t="n"/>
      <c r="BC111" s="169" t="n"/>
      <c r="BD111" s="169" t="n"/>
      <c r="BE111" s="169" t="n"/>
      <c r="BF111" s="169" t="n"/>
      <c r="BG111" s="169" t="n"/>
      <c r="BH111" s="169" t="n"/>
      <c r="BI111" s="169" t="n"/>
      <c r="BJ111" s="169" t="n"/>
      <c r="BK111" s="169" t="n"/>
      <c r="BL111" s="169" t="n"/>
      <c r="BM111" s="169" t="n"/>
      <c r="BN111" s="169" t="n"/>
      <c r="BO111" s="169" t="n"/>
      <c r="BP111" s="169" t="n"/>
      <c r="BQ111" s="169" t="n"/>
      <c r="BR111" s="169" t="n"/>
      <c r="BS111" s="169" t="n"/>
      <c r="BT111" s="169" t="n"/>
      <c r="BU111" s="169" t="n"/>
      <c r="BV111" s="169" t="n"/>
      <c r="BW111" s="169" t="n"/>
      <c r="BX111" s="169" t="n"/>
      <c r="BY111" s="169" t="n"/>
      <c r="BZ111" s="169" t="n"/>
      <c r="CA111" s="169" t="n"/>
      <c r="CB111" s="169" t="n"/>
      <c r="CC111" s="169" t="n"/>
      <c r="CD111" s="169" t="n"/>
    </row>
    <row r="112">
      <c r="A112" s="83" t="n"/>
      <c r="B112" s="169" t="n"/>
      <c r="C112" s="169" t="n"/>
      <c r="D112" s="169" t="n"/>
      <c r="E112" s="169" t="n"/>
      <c r="F112" s="169" t="n"/>
      <c r="G112" s="169" t="n"/>
      <c r="H112" s="169" t="n"/>
      <c r="I112" s="169" t="n"/>
      <c r="J112" s="169" t="n"/>
      <c r="K112" s="169" t="n"/>
      <c r="L112" s="169" t="n"/>
      <c r="M112" s="169" t="n"/>
      <c r="N112" s="169" t="n"/>
      <c r="O112" s="169" t="n"/>
      <c r="P112" s="169" t="n"/>
      <c r="Q112" s="169" t="n"/>
      <c r="R112" s="169" t="n"/>
      <c r="S112" s="169" t="n"/>
      <c r="T112" s="169" t="n"/>
      <c r="U112" s="169" t="n"/>
      <c r="V112" s="169" t="n"/>
      <c r="W112" s="169" t="n"/>
      <c r="X112" s="169" t="n"/>
      <c r="Y112" s="169" t="n"/>
      <c r="Z112" s="169" t="n"/>
      <c r="AA112" s="169" t="n"/>
      <c r="AB112" s="169" t="n"/>
      <c r="AC112" s="169" t="n"/>
      <c r="AD112" s="169" t="n"/>
      <c r="AE112" s="169" t="n"/>
      <c r="AF112" s="169" t="n"/>
      <c r="AG112" s="169" t="n"/>
      <c r="AH112" s="169" t="n"/>
      <c r="AI112" s="169" t="n"/>
      <c r="AJ112" s="169" t="n"/>
      <c r="AK112" s="169" t="n"/>
      <c r="AL112" s="169" t="n"/>
      <c r="AM112" s="169" t="n"/>
      <c r="AN112" s="169" t="n"/>
      <c r="AO112" s="169" t="n"/>
      <c r="AP112" s="169" t="n"/>
      <c r="AQ112" s="169" t="n"/>
      <c r="AR112" s="169" t="n"/>
      <c r="AS112" s="169" t="n"/>
      <c r="AT112" s="169" t="n"/>
      <c r="AU112" s="169" t="n"/>
      <c r="AV112" s="169" t="n"/>
      <c r="AW112" s="169" t="n"/>
      <c r="AX112" s="169" t="n"/>
      <c r="AY112" s="169" t="n"/>
      <c r="AZ112" s="169" t="n"/>
      <c r="BA112" s="169" t="n"/>
      <c r="BB112" s="169" t="n"/>
      <c r="BC112" s="169" t="n"/>
      <c r="BD112" s="169" t="n"/>
      <c r="BE112" s="169" t="n"/>
      <c r="BF112" s="169" t="n"/>
      <c r="BG112" s="169" t="n"/>
      <c r="BH112" s="169" t="n"/>
      <c r="BI112" s="169" t="n"/>
      <c r="BJ112" s="169" t="n"/>
      <c r="BK112" s="169" t="n"/>
      <c r="BL112" s="169" t="n"/>
      <c r="BM112" s="169" t="n"/>
      <c r="BN112" s="169" t="n"/>
      <c r="BO112" s="169" t="n"/>
      <c r="BP112" s="169" t="n"/>
      <c r="BQ112" s="169" t="n"/>
      <c r="BR112" s="169" t="n"/>
      <c r="BS112" s="169" t="n"/>
      <c r="BT112" s="169" t="n"/>
      <c r="BU112" s="169" t="n"/>
      <c r="BV112" s="169" t="n"/>
      <c r="BW112" s="169" t="n"/>
      <c r="BX112" s="169" t="n"/>
      <c r="BY112" s="169" t="n"/>
      <c r="BZ112" s="169" t="n"/>
      <c r="CA112" s="169" t="n"/>
      <c r="CB112" s="169" t="n"/>
      <c r="CC112" s="169" t="n"/>
      <c r="CD112" s="169" t="n"/>
    </row>
    <row r="113">
      <c r="A113" s="83" t="n"/>
      <c r="B113" s="169" t="n"/>
      <c r="C113" s="169" t="n"/>
      <c r="D113" s="169" t="n"/>
      <c r="E113" s="169" t="n"/>
      <c r="F113" s="169" t="n"/>
      <c r="G113" s="169" t="n"/>
      <c r="H113" s="169" t="n"/>
      <c r="I113" s="169" t="n"/>
      <c r="J113" s="169" t="n"/>
      <c r="K113" s="169" t="n"/>
      <c r="L113" s="169" t="n"/>
      <c r="M113" s="169" t="n"/>
      <c r="N113" s="169" t="n"/>
      <c r="O113" s="169" t="n"/>
      <c r="P113" s="169" t="n"/>
      <c r="Q113" s="169" t="n"/>
      <c r="R113" s="169" t="n"/>
      <c r="S113" s="169" t="n"/>
      <c r="T113" s="169" t="n"/>
      <c r="U113" s="169" t="n"/>
      <c r="V113" s="169" t="n"/>
      <c r="W113" s="169" t="n"/>
      <c r="X113" s="169" t="n"/>
      <c r="Y113" s="169" t="n"/>
      <c r="Z113" s="169" t="n"/>
      <c r="AA113" s="169" t="n"/>
      <c r="AB113" s="169" t="n"/>
      <c r="AC113" s="169" t="n"/>
      <c r="AD113" s="169" t="n"/>
      <c r="AE113" s="169" t="n"/>
      <c r="AF113" s="169" t="n"/>
      <c r="AG113" s="169" t="n"/>
      <c r="AH113" s="169" t="n"/>
      <c r="AI113" s="169" t="n"/>
      <c r="AJ113" s="169" t="n"/>
      <c r="AK113" s="169" t="n"/>
      <c r="AL113" s="169" t="n"/>
      <c r="AM113" s="169" t="n"/>
      <c r="AN113" s="169" t="n"/>
      <c r="AO113" s="169" t="n"/>
      <c r="AP113" s="169" t="n"/>
      <c r="AQ113" s="169" t="n"/>
      <c r="AR113" s="169" t="n"/>
      <c r="AS113" s="169" t="n"/>
      <c r="AT113" s="169" t="n"/>
      <c r="AU113" s="169" t="n"/>
      <c r="AV113" s="169" t="n"/>
      <c r="AW113" s="169" t="n"/>
      <c r="AX113" s="169" t="n"/>
      <c r="AY113" s="169" t="n"/>
      <c r="AZ113" s="169" t="n"/>
      <c r="BA113" s="169" t="n"/>
      <c r="BB113" s="169" t="n"/>
      <c r="BC113" s="169" t="n"/>
      <c r="BD113" s="169" t="n"/>
      <c r="BE113" s="169" t="n"/>
      <c r="BF113" s="169" t="n"/>
      <c r="BG113" s="169" t="n"/>
      <c r="BH113" s="169" t="n"/>
      <c r="BI113" s="169" t="n"/>
      <c r="BJ113" s="169" t="n"/>
      <c r="BK113" s="169" t="n"/>
      <c r="BL113" s="169" t="n"/>
      <c r="BM113" s="169" t="n"/>
      <c r="BN113" s="169" t="n"/>
      <c r="BO113" s="169" t="n"/>
      <c r="BP113" s="169" t="n"/>
      <c r="BQ113" s="169" t="n"/>
      <c r="BR113" s="169" t="n"/>
      <c r="BS113" s="169" t="n"/>
      <c r="BT113" s="169" t="n"/>
      <c r="BU113" s="169" t="n"/>
      <c r="BV113" s="169" t="n"/>
      <c r="BW113" s="169" t="n"/>
      <c r="BX113" s="169" t="n"/>
      <c r="BY113" s="169" t="n"/>
      <c r="BZ113" s="169" t="n"/>
      <c r="CA113" s="169" t="n"/>
      <c r="CB113" s="169" t="n"/>
      <c r="CC113" s="169" t="n"/>
      <c r="CD113" s="169" t="n"/>
    </row>
    <row r="114">
      <c r="A114" s="83" t="n"/>
      <c r="B114" s="169" t="n"/>
      <c r="C114" s="169" t="n"/>
      <c r="D114" s="169" t="n"/>
      <c r="E114" s="169" t="n"/>
      <c r="F114" s="169" t="n"/>
      <c r="G114" s="169" t="n"/>
      <c r="H114" s="169" t="n"/>
      <c r="I114" s="169" t="n"/>
      <c r="J114" s="169" t="n"/>
      <c r="K114" s="169" t="n"/>
      <c r="L114" s="169" t="n"/>
      <c r="M114" s="169" t="n"/>
      <c r="N114" s="169" t="n"/>
      <c r="O114" s="169" t="n"/>
      <c r="P114" s="169" t="n"/>
      <c r="Q114" s="169" t="n"/>
      <c r="R114" s="169" t="n"/>
      <c r="S114" s="169" t="n"/>
      <c r="T114" s="169" t="n"/>
      <c r="U114" s="169" t="n"/>
      <c r="V114" s="169" t="n"/>
      <c r="W114" s="169" t="n"/>
      <c r="X114" s="169" t="n"/>
      <c r="Y114" s="169" t="n"/>
      <c r="Z114" s="169" t="n"/>
      <c r="AA114" s="169" t="n"/>
      <c r="AB114" s="169" t="n"/>
      <c r="AC114" s="169" t="n"/>
      <c r="AD114" s="169" t="n"/>
      <c r="AE114" s="169" t="n"/>
      <c r="AF114" s="169" t="n"/>
      <c r="AG114" s="169" t="n"/>
      <c r="AH114" s="169" t="n"/>
      <c r="AI114" s="169" t="n"/>
      <c r="AJ114" s="169" t="n"/>
      <c r="AK114" s="169" t="n"/>
      <c r="AL114" s="169" t="n"/>
      <c r="AM114" s="169" t="n"/>
      <c r="AN114" s="169" t="n"/>
      <c r="AO114" s="169" t="n"/>
      <c r="AP114" s="169" t="n"/>
      <c r="AQ114" s="169" t="n"/>
      <c r="AR114" s="169" t="n"/>
      <c r="AS114" s="169" t="n"/>
      <c r="AT114" s="169" t="n"/>
      <c r="AU114" s="169" t="n"/>
      <c r="AV114" s="169" t="n"/>
      <c r="AW114" s="169" t="n"/>
      <c r="AX114" s="169" t="n"/>
      <c r="AY114" s="169" t="n"/>
      <c r="AZ114" s="169" t="n"/>
      <c r="BA114" s="169" t="n"/>
      <c r="BB114" s="169" t="n"/>
      <c r="BC114" s="169" t="n"/>
      <c r="BD114" s="169" t="n"/>
      <c r="BE114" s="169" t="n"/>
      <c r="BF114" s="169" t="n"/>
      <c r="BG114" s="169" t="n"/>
      <c r="BH114" s="169" t="n"/>
      <c r="BI114" s="169" t="n"/>
      <c r="BJ114" s="169" t="n"/>
      <c r="BK114" s="169" t="n"/>
      <c r="BL114" s="169" t="n"/>
      <c r="BM114" s="169" t="n"/>
      <c r="BN114" s="169" t="n"/>
      <c r="BO114" s="169" t="n"/>
      <c r="BP114" s="169" t="n"/>
      <c r="BQ114" s="169" t="n"/>
      <c r="BR114" s="169" t="n"/>
      <c r="BS114" s="169" t="n"/>
      <c r="BT114" s="169" t="n"/>
      <c r="BU114" s="169" t="n"/>
      <c r="BV114" s="169" t="n"/>
      <c r="BW114" s="169" t="n"/>
      <c r="BX114" s="169" t="n"/>
      <c r="BY114" s="169" t="n"/>
      <c r="BZ114" s="169" t="n"/>
      <c r="CA114" s="169" t="n"/>
      <c r="CB114" s="169" t="n"/>
      <c r="CC114" s="169" t="n"/>
      <c r="CD114" s="169" t="n"/>
    </row>
    <row r="115">
      <c r="A115" s="83" t="n"/>
      <c r="B115" s="169" t="n"/>
      <c r="C115" s="169" t="n"/>
      <c r="D115" s="169" t="n"/>
      <c r="E115" s="169" t="n"/>
      <c r="F115" s="169" t="n"/>
      <c r="G115" s="169" t="n"/>
      <c r="H115" s="169" t="n"/>
      <c r="I115" s="169" t="n"/>
      <c r="J115" s="169" t="n"/>
      <c r="K115" s="169" t="n"/>
      <c r="L115" s="169" t="n"/>
      <c r="M115" s="169" t="n"/>
      <c r="N115" s="169" t="n"/>
      <c r="O115" s="169" t="n"/>
      <c r="P115" s="169" t="n"/>
      <c r="Q115" s="169" t="n"/>
      <c r="R115" s="169" t="n"/>
      <c r="S115" s="169" t="n"/>
      <c r="T115" s="169" t="n"/>
      <c r="U115" s="169" t="n"/>
      <c r="V115" s="169" t="n"/>
      <c r="W115" s="169" t="n"/>
      <c r="X115" s="169" t="n"/>
      <c r="Y115" s="169" t="n"/>
      <c r="Z115" s="169" t="n"/>
      <c r="AA115" s="169" t="n"/>
      <c r="AB115" s="169" t="n"/>
      <c r="AC115" s="169" t="n"/>
      <c r="AD115" s="169" t="n"/>
      <c r="AE115" s="169" t="n"/>
      <c r="AF115" s="169" t="n"/>
      <c r="AG115" s="169" t="n"/>
      <c r="AH115" s="169" t="n"/>
      <c r="AI115" s="169" t="n"/>
      <c r="AJ115" s="169" t="n"/>
      <c r="AK115" s="169" t="n"/>
      <c r="AL115" s="169" t="n"/>
      <c r="AM115" s="169" t="n"/>
      <c r="AN115" s="169" t="n"/>
      <c r="AO115" s="169" t="n"/>
      <c r="AP115" s="169" t="n"/>
      <c r="AQ115" s="169" t="n"/>
      <c r="AR115" s="169" t="n"/>
      <c r="AS115" s="169" t="n"/>
      <c r="AT115" s="169" t="n"/>
      <c r="AU115" s="169" t="n"/>
      <c r="AV115" s="169" t="n"/>
      <c r="AW115" s="169" t="n"/>
      <c r="AX115" s="169" t="n"/>
      <c r="AY115" s="169" t="n"/>
      <c r="AZ115" s="169" t="n"/>
      <c r="BA115" s="169" t="n"/>
      <c r="BB115" s="169" t="n"/>
      <c r="BC115" s="169" t="n"/>
      <c r="BD115" s="169" t="n"/>
      <c r="BE115" s="169" t="n"/>
      <c r="BF115" s="169" t="n"/>
      <c r="BG115" s="169" t="n"/>
      <c r="BH115" s="169" t="n"/>
      <c r="BI115" s="169" t="n"/>
      <c r="BJ115" s="169" t="n"/>
      <c r="BK115" s="169" t="n"/>
      <c r="BL115" s="169" t="n"/>
      <c r="BM115" s="169" t="n"/>
      <c r="BN115" s="169" t="n"/>
      <c r="BO115" s="169" t="n"/>
      <c r="BP115" s="169" t="n"/>
      <c r="BQ115" s="169" t="n"/>
      <c r="BR115" s="169" t="n"/>
      <c r="BS115" s="169" t="n"/>
      <c r="BT115" s="169" t="n"/>
      <c r="BU115" s="169" t="n"/>
      <c r="BV115" s="169" t="n"/>
      <c r="BW115" s="169" t="n"/>
      <c r="BX115" s="169" t="n"/>
      <c r="BY115" s="169" t="n"/>
      <c r="BZ115" s="169" t="n"/>
      <c r="CA115" s="169" t="n"/>
      <c r="CB115" s="169" t="n"/>
      <c r="CC115" s="169" t="n"/>
      <c r="CD115" s="169" t="n"/>
    </row>
    <row r="116">
      <c r="A116" s="83" t="n"/>
      <c r="B116" s="169" t="n"/>
      <c r="C116" s="169" t="n"/>
      <c r="D116" s="169" t="n"/>
      <c r="E116" s="169" t="n"/>
      <c r="F116" s="169" t="n"/>
      <c r="G116" s="169" t="n"/>
      <c r="H116" s="169" t="n"/>
      <c r="I116" s="169" t="n"/>
      <c r="J116" s="169" t="n"/>
      <c r="K116" s="169" t="n"/>
      <c r="L116" s="169" t="n"/>
      <c r="M116" s="169" t="n"/>
      <c r="N116" s="169" t="n"/>
      <c r="O116" s="169" t="n"/>
      <c r="P116" s="169" t="n"/>
      <c r="Q116" s="169" t="n"/>
      <c r="R116" s="169" t="n"/>
      <c r="S116" s="169" t="n"/>
      <c r="T116" s="169" t="n"/>
      <c r="U116" s="169" t="n"/>
      <c r="V116" s="169" t="n"/>
      <c r="W116" s="169" t="n"/>
      <c r="X116" s="169" t="n"/>
      <c r="Y116" s="169" t="n"/>
      <c r="Z116" s="169" t="n"/>
      <c r="AA116" s="169" t="n"/>
      <c r="AB116" s="169" t="n"/>
      <c r="AC116" s="169" t="n"/>
      <c r="AD116" s="169" t="n"/>
      <c r="AE116" s="169" t="n"/>
      <c r="AF116" s="169" t="n"/>
      <c r="AG116" s="169" t="n"/>
      <c r="AH116" s="169" t="n"/>
      <c r="AI116" s="169" t="n"/>
      <c r="AJ116" s="169" t="n"/>
      <c r="AK116" s="169" t="n"/>
      <c r="AL116" s="169" t="n"/>
      <c r="AM116" s="169" t="n"/>
      <c r="AN116" s="169" t="n"/>
      <c r="AO116" s="169" t="n"/>
      <c r="AP116" s="169" t="n"/>
      <c r="AQ116" s="169" t="n"/>
      <c r="AR116" s="169" t="n"/>
      <c r="AS116" s="169" t="n"/>
      <c r="AT116" s="169" t="n"/>
      <c r="AU116" s="169" t="n"/>
      <c r="AV116" s="169" t="n"/>
      <c r="AW116" s="169" t="n"/>
      <c r="AX116" s="169" t="n"/>
      <c r="AY116" s="169" t="n"/>
      <c r="AZ116" s="169" t="n"/>
      <c r="BA116" s="169" t="n"/>
      <c r="BB116" s="169" t="n"/>
      <c r="BC116" s="169" t="n"/>
      <c r="BD116" s="169" t="n"/>
      <c r="BE116" s="169" t="n"/>
      <c r="BF116" s="169" t="n"/>
      <c r="BG116" s="169" t="n"/>
      <c r="BH116" s="169" t="n"/>
      <c r="BI116" s="169" t="n"/>
      <c r="BJ116" s="169" t="n"/>
      <c r="BK116" s="169" t="n"/>
      <c r="BL116" s="169" t="n"/>
      <c r="BM116" s="169" t="n"/>
      <c r="BN116" s="169" t="n"/>
      <c r="BO116" s="169" t="n"/>
      <c r="BP116" s="169" t="n"/>
      <c r="BQ116" s="169" t="n"/>
      <c r="BR116" s="169" t="n"/>
      <c r="BS116" s="169" t="n"/>
      <c r="BT116" s="169" t="n"/>
      <c r="BU116" s="169" t="n"/>
      <c r="BV116" s="169" t="n"/>
      <c r="BW116" s="169" t="n"/>
      <c r="BX116" s="169" t="n"/>
      <c r="BY116" s="169" t="n"/>
      <c r="BZ116" s="169" t="n"/>
      <c r="CA116" s="169" t="n"/>
      <c r="CB116" s="169" t="n"/>
      <c r="CC116" s="169" t="n"/>
      <c r="CD116" s="169" t="n"/>
    </row>
    <row r="117">
      <c r="A117" s="83" t="n"/>
      <c r="B117" s="169" t="n"/>
      <c r="C117" s="169" t="n"/>
      <c r="D117" s="169" t="n"/>
      <c r="E117" s="169" t="n"/>
      <c r="F117" s="169" t="n"/>
      <c r="G117" s="169" t="n"/>
      <c r="H117" s="169" t="n"/>
      <c r="I117" s="169" t="n"/>
      <c r="J117" s="169" t="n"/>
      <c r="K117" s="169" t="n"/>
      <c r="L117" s="169" t="n"/>
      <c r="M117" s="169" t="n"/>
      <c r="N117" s="169" t="n"/>
      <c r="O117" s="169" t="n"/>
      <c r="P117" s="169" t="n"/>
      <c r="Q117" s="169" t="n"/>
      <c r="R117" s="169" t="n"/>
      <c r="S117" s="169" t="n"/>
      <c r="T117" s="169" t="n"/>
      <c r="U117" s="169" t="n"/>
      <c r="V117" s="169" t="n"/>
      <c r="W117" s="169" t="n"/>
      <c r="X117" s="169" t="n"/>
      <c r="Y117" s="169" t="n"/>
      <c r="Z117" s="169" t="n"/>
      <c r="AA117" s="169" t="n"/>
      <c r="AB117" s="169" t="n"/>
      <c r="AC117" s="169" t="n"/>
      <c r="AD117" s="169" t="n"/>
      <c r="AE117" s="169" t="n"/>
      <c r="AF117" s="169" t="n"/>
      <c r="AG117" s="169" t="n"/>
      <c r="AH117" s="169" t="n"/>
      <c r="AI117" s="169" t="n"/>
      <c r="AJ117" s="169" t="n"/>
      <c r="AK117" s="169" t="n"/>
      <c r="AL117" s="169" t="n"/>
      <c r="AM117" s="169" t="n"/>
      <c r="AN117" s="169" t="n"/>
      <c r="AO117" s="169" t="n"/>
      <c r="AP117" s="169" t="n"/>
      <c r="AQ117" s="169" t="n"/>
      <c r="AR117" s="169" t="n"/>
      <c r="AS117" s="169" t="n"/>
      <c r="AT117" s="169" t="n"/>
      <c r="AU117" s="169" t="n"/>
      <c r="AV117" s="169" t="n"/>
      <c r="AW117" s="169" t="n"/>
      <c r="AX117" s="169" t="n"/>
      <c r="AY117" s="169" t="n"/>
      <c r="AZ117" s="169" t="n"/>
      <c r="BA117" s="169" t="n"/>
      <c r="BB117" s="169" t="n"/>
      <c r="BC117" s="169" t="n"/>
      <c r="BD117" s="169" t="n"/>
      <c r="BE117" s="169" t="n"/>
      <c r="BF117" s="169" t="n"/>
      <c r="BG117" s="169" t="n"/>
      <c r="BH117" s="169" t="n"/>
      <c r="BI117" s="169" t="n"/>
      <c r="BJ117" s="169" t="n"/>
      <c r="BK117" s="169" t="n"/>
      <c r="BL117" s="169" t="n"/>
      <c r="BM117" s="169" t="n"/>
      <c r="BN117" s="169" t="n"/>
      <c r="BO117" s="169" t="n"/>
      <c r="BP117" s="169" t="n"/>
      <c r="BQ117" s="169" t="n"/>
      <c r="BR117" s="169" t="n"/>
      <c r="BS117" s="169" t="n"/>
      <c r="BT117" s="169" t="n"/>
      <c r="BU117" s="169" t="n"/>
      <c r="BV117" s="169" t="n"/>
      <c r="BW117" s="169" t="n"/>
      <c r="BX117" s="169" t="n"/>
      <c r="BY117" s="169" t="n"/>
      <c r="BZ117" s="169" t="n"/>
      <c r="CA117" s="169" t="n"/>
      <c r="CB117" s="169" t="n"/>
      <c r="CC117" s="169" t="n"/>
      <c r="CD117" s="169" t="n"/>
    </row>
    <row r="118">
      <c r="A118" s="83" t="n"/>
      <c r="B118" s="169" t="n"/>
      <c r="C118" s="169" t="n"/>
      <c r="D118" s="169" t="n"/>
      <c r="E118" s="169" t="n"/>
      <c r="F118" s="169" t="n"/>
      <c r="G118" s="169" t="n"/>
      <c r="H118" s="169" t="n"/>
      <c r="I118" s="169" t="n"/>
      <c r="J118" s="169" t="n"/>
      <c r="K118" s="169" t="n"/>
      <c r="L118" s="169" t="n"/>
      <c r="M118" s="169" t="n"/>
      <c r="N118" s="169" t="n"/>
      <c r="O118" s="169" t="n"/>
      <c r="P118" s="169" t="n"/>
      <c r="Q118" s="169" t="n"/>
      <c r="R118" s="169" t="n"/>
      <c r="S118" s="169" t="n"/>
      <c r="T118" s="169" t="n"/>
      <c r="U118" s="169" t="n"/>
      <c r="V118" s="169" t="n"/>
      <c r="W118" s="169" t="n"/>
      <c r="X118" s="169" t="n"/>
      <c r="Y118" s="169" t="n"/>
      <c r="Z118" s="169" t="n"/>
      <c r="AA118" s="169" t="n"/>
      <c r="AB118" s="169" t="n"/>
      <c r="AC118" s="169" t="n"/>
      <c r="AD118" s="169" t="n"/>
      <c r="AE118" s="169" t="n"/>
      <c r="AF118" s="169" t="n"/>
      <c r="AG118" s="169" t="n"/>
      <c r="AH118" s="169" t="n"/>
      <c r="AI118" s="169" t="n"/>
      <c r="AJ118" s="169" t="n"/>
      <c r="AK118" s="169" t="n"/>
      <c r="AL118" s="169" t="n"/>
      <c r="AM118" s="169" t="n"/>
      <c r="AN118" s="169" t="n"/>
      <c r="AO118" s="169" t="n"/>
      <c r="AP118" s="169" t="n"/>
      <c r="AQ118" s="169" t="n"/>
      <c r="AR118" s="169" t="n"/>
      <c r="AS118" s="169" t="n"/>
      <c r="AT118" s="169" t="n"/>
      <c r="AU118" s="169" t="n"/>
      <c r="AV118" s="169" t="n"/>
      <c r="AW118" s="169" t="n"/>
      <c r="AX118" s="169" t="n"/>
      <c r="AY118" s="169" t="n"/>
      <c r="AZ118" s="169" t="n"/>
      <c r="BA118" s="169" t="n"/>
      <c r="BB118" s="169" t="n"/>
      <c r="BC118" s="169" t="n"/>
      <c r="BD118" s="169" t="n"/>
      <c r="BE118" s="169" t="n"/>
      <c r="BF118" s="169" t="n"/>
      <c r="BG118" s="169" t="n"/>
      <c r="BH118" s="169" t="n"/>
      <c r="BI118" s="169" t="n"/>
      <c r="BJ118" s="169" t="n"/>
      <c r="BK118" s="169" t="n"/>
      <c r="BL118" s="169" t="n"/>
      <c r="BM118" s="169" t="n"/>
      <c r="BN118" s="169" t="n"/>
      <c r="BO118" s="169" t="n"/>
      <c r="BP118" s="169" t="n"/>
      <c r="BQ118" s="169" t="n"/>
      <c r="BR118" s="169" t="n"/>
      <c r="BS118" s="169" t="n"/>
      <c r="BT118" s="169" t="n"/>
      <c r="BU118" s="169" t="n"/>
      <c r="BV118" s="169" t="n"/>
      <c r="BW118" s="169" t="n"/>
      <c r="BX118" s="169" t="n"/>
      <c r="BY118" s="169" t="n"/>
      <c r="BZ118" s="169" t="n"/>
      <c r="CA118" s="169" t="n"/>
      <c r="CB118" s="169" t="n"/>
      <c r="CC118" s="169" t="n"/>
      <c r="CD118" s="169" t="n"/>
    </row>
    <row r="119">
      <c r="A119" s="83" t="n"/>
      <c r="B119" s="169" t="n"/>
      <c r="C119" s="169" t="n"/>
      <c r="D119" s="169" t="n"/>
      <c r="E119" s="169" t="n"/>
      <c r="F119" s="169" t="n"/>
      <c r="G119" s="169" t="n"/>
      <c r="H119" s="169" t="n"/>
      <c r="I119" s="169" t="n"/>
      <c r="J119" s="169" t="n"/>
      <c r="K119" s="169" t="n"/>
      <c r="L119" s="169" t="n"/>
      <c r="M119" s="169" t="n"/>
      <c r="N119" s="169" t="n"/>
      <c r="O119" s="169" t="n"/>
      <c r="P119" s="169" t="n"/>
      <c r="Q119" s="169" t="n"/>
      <c r="R119" s="169" t="n"/>
      <c r="S119" s="169" t="n"/>
      <c r="T119" s="169" t="n"/>
      <c r="U119" s="169" t="n"/>
      <c r="V119" s="169" t="n"/>
      <c r="W119" s="169" t="n"/>
      <c r="X119" s="169" t="n"/>
      <c r="Y119" s="169" t="n"/>
      <c r="Z119" s="169" t="n"/>
      <c r="AA119" s="169" t="n"/>
      <c r="AB119" s="169" t="n"/>
      <c r="AC119" s="169" t="n"/>
      <c r="AD119" s="169" t="n"/>
      <c r="AE119" s="169" t="n"/>
      <c r="AF119" s="169" t="n"/>
      <c r="AG119" s="169" t="n"/>
      <c r="AH119" s="169" t="n"/>
      <c r="AI119" s="169" t="n"/>
      <c r="AJ119" s="169" t="n"/>
      <c r="AK119" s="169" t="n"/>
      <c r="AL119" s="169" t="n"/>
      <c r="AM119" s="169" t="n"/>
      <c r="AN119" s="169" t="n"/>
      <c r="AO119" s="169" t="n"/>
      <c r="AP119" s="169" t="n"/>
      <c r="AQ119" s="169" t="n"/>
      <c r="AR119" s="169" t="n"/>
      <c r="AS119" s="169" t="n"/>
      <c r="AT119" s="169" t="n"/>
      <c r="AU119" s="169" t="n"/>
      <c r="AV119" s="169" t="n"/>
      <c r="AW119" s="169" t="n"/>
      <c r="AX119" s="169" t="n"/>
      <c r="AY119" s="169" t="n"/>
      <c r="AZ119" s="169" t="n"/>
      <c r="BA119" s="169" t="n"/>
      <c r="BB119" s="169" t="n"/>
      <c r="BC119" s="169" t="n"/>
      <c r="BD119" s="169" t="n"/>
      <c r="BE119" s="169" t="n"/>
      <c r="BF119" s="169" t="n"/>
      <c r="BG119" s="169" t="n"/>
      <c r="BH119" s="169" t="n"/>
      <c r="BI119" s="169" t="n"/>
      <c r="BJ119" s="169" t="n"/>
      <c r="BK119" s="169" t="n"/>
      <c r="BL119" s="169" t="n"/>
      <c r="BM119" s="169" t="n"/>
      <c r="BN119" s="169" t="n"/>
      <c r="BO119" s="169" t="n"/>
      <c r="BP119" s="169" t="n"/>
      <c r="BQ119" s="169" t="n"/>
      <c r="BR119" s="169" t="n"/>
      <c r="BS119" s="169" t="n"/>
      <c r="BT119" s="169" t="n"/>
      <c r="BU119" s="169" t="n"/>
      <c r="BV119" s="169" t="n"/>
      <c r="BW119" s="169" t="n"/>
      <c r="BX119" s="169" t="n"/>
      <c r="BY119" s="169" t="n"/>
      <c r="BZ119" s="169" t="n"/>
      <c r="CA119" s="169" t="n"/>
      <c r="CB119" s="169" t="n"/>
      <c r="CC119" s="169" t="n"/>
      <c r="CD119" s="169" t="n"/>
    </row>
    <row r="120">
      <c r="A120" s="83" t="n"/>
      <c r="B120" s="169" t="n"/>
      <c r="C120" s="169" t="n"/>
      <c r="D120" s="169" t="n"/>
      <c r="E120" s="169" t="n"/>
      <c r="F120" s="169" t="n"/>
      <c r="G120" s="169" t="n"/>
      <c r="H120" s="169" t="n"/>
      <c r="I120" s="169" t="n"/>
      <c r="J120" s="169" t="n"/>
      <c r="K120" s="169" t="n"/>
      <c r="L120" s="169" t="n"/>
      <c r="M120" s="169" t="n"/>
      <c r="N120" s="169" t="n"/>
      <c r="O120" s="169" t="n"/>
      <c r="P120" s="169" t="n"/>
      <c r="Q120" s="169" t="n"/>
      <c r="R120" s="169" t="n"/>
      <c r="S120" s="169" t="n"/>
      <c r="T120" s="169" t="n"/>
      <c r="U120" s="169" t="n"/>
      <c r="V120" s="169" t="n"/>
      <c r="W120" s="169" t="n"/>
      <c r="X120" s="169" t="n"/>
      <c r="Y120" s="169" t="n"/>
      <c r="Z120" s="169" t="n"/>
      <c r="AA120" s="169" t="n"/>
      <c r="AB120" s="169" t="n"/>
      <c r="AC120" s="169" t="n"/>
      <c r="AD120" s="169" t="n"/>
      <c r="AE120" s="169" t="n"/>
      <c r="AF120" s="169" t="n"/>
      <c r="AG120" s="169" t="n"/>
      <c r="AH120" s="169" t="n"/>
      <c r="AI120" s="169" t="n"/>
      <c r="AJ120" s="169" t="n"/>
      <c r="AK120" s="169" t="n"/>
      <c r="AL120" s="169" t="n"/>
      <c r="AM120" s="169" t="n"/>
      <c r="AN120" s="169" t="n"/>
      <c r="AO120" s="169" t="n"/>
      <c r="AP120" s="169" t="n"/>
      <c r="AQ120" s="169" t="n"/>
      <c r="AR120" s="169" t="n"/>
      <c r="AS120" s="169" t="n"/>
      <c r="AT120" s="169" t="n"/>
      <c r="AU120" s="169" t="n"/>
      <c r="AV120" s="169" t="n"/>
      <c r="AW120" s="169" t="n"/>
      <c r="AX120" s="169" t="n"/>
      <c r="AY120" s="169" t="n"/>
      <c r="AZ120" s="169" t="n"/>
      <c r="BA120" s="169" t="n"/>
      <c r="BB120" s="169" t="n"/>
      <c r="BC120" s="169" t="n"/>
      <c r="BD120" s="169" t="n"/>
      <c r="BE120" s="169" t="n"/>
      <c r="BF120" s="169" t="n"/>
      <c r="BG120" s="169" t="n"/>
      <c r="BH120" s="169" t="n"/>
      <c r="BI120" s="169" t="n"/>
      <c r="BJ120" s="169" t="n"/>
      <c r="BK120" s="169" t="n"/>
      <c r="BL120" s="169" t="n"/>
      <c r="BM120" s="169" t="n"/>
      <c r="BN120" s="169" t="n"/>
      <c r="BO120" s="169" t="n"/>
      <c r="BP120" s="169" t="n"/>
      <c r="BQ120" s="169" t="n"/>
      <c r="BR120" s="169" t="n"/>
      <c r="BS120" s="169" t="n"/>
      <c r="BT120" s="169" t="n"/>
      <c r="BU120" s="169" t="n"/>
      <c r="BV120" s="169" t="n"/>
      <c r="BW120" s="169" t="n"/>
      <c r="BX120" s="169" t="n"/>
      <c r="BY120" s="169" t="n"/>
      <c r="BZ120" s="169" t="n"/>
      <c r="CA120" s="169" t="n"/>
      <c r="CB120" s="169" t="n"/>
      <c r="CC120" s="169" t="n"/>
      <c r="CD120" s="169" t="n"/>
    </row>
    <row r="121">
      <c r="A121" s="83" t="n"/>
      <c r="B121" s="169" t="n"/>
      <c r="C121" s="169" t="n"/>
      <c r="D121" s="169" t="n"/>
      <c r="E121" s="169" t="n"/>
      <c r="F121" s="169" t="n"/>
      <c r="G121" s="169" t="n"/>
      <c r="H121" s="169" t="n"/>
      <c r="I121" s="169" t="n"/>
      <c r="J121" s="169" t="n"/>
      <c r="K121" s="169" t="n"/>
      <c r="L121" s="169" t="n"/>
      <c r="M121" s="169" t="n"/>
      <c r="N121" s="169" t="n"/>
      <c r="O121" s="169" t="n"/>
      <c r="P121" s="169" t="n"/>
      <c r="Q121" s="169" t="n"/>
      <c r="R121" s="169" t="n"/>
      <c r="S121" s="169" t="n"/>
      <c r="T121" s="169" t="n"/>
      <c r="U121" s="169" t="n"/>
      <c r="V121" s="169" t="n"/>
      <c r="W121" s="169" t="n"/>
      <c r="X121" s="169" t="n"/>
      <c r="Y121" s="169" t="n"/>
      <c r="Z121" s="169" t="n"/>
      <c r="AA121" s="169" t="n"/>
      <c r="AB121" s="169" t="n"/>
      <c r="AC121" s="169" t="n"/>
      <c r="AD121" s="169" t="n"/>
      <c r="AE121" s="169" t="n"/>
      <c r="AF121" s="169" t="n"/>
      <c r="AG121" s="169" t="n"/>
      <c r="AH121" s="169" t="n"/>
      <c r="AI121" s="169" t="n"/>
      <c r="AJ121" s="169" t="n"/>
      <c r="AK121" s="169" t="n"/>
      <c r="AL121" s="169" t="n"/>
      <c r="AM121" s="169" t="n"/>
      <c r="AN121" s="169" t="n"/>
      <c r="AO121" s="169" t="n"/>
      <c r="AP121" s="169" t="n"/>
      <c r="AQ121" s="169" t="n"/>
      <c r="AR121" s="169" t="n"/>
      <c r="AS121" s="169" t="n"/>
      <c r="AT121" s="169" t="n"/>
      <c r="AU121" s="169" t="n"/>
      <c r="AV121" s="169" t="n"/>
      <c r="AW121" s="169" t="n"/>
      <c r="AX121" s="169" t="n"/>
      <c r="AY121" s="169" t="n"/>
      <c r="AZ121" s="169" t="n"/>
      <c r="BA121" s="169" t="n"/>
      <c r="BB121" s="169" t="n"/>
      <c r="BC121" s="169" t="n"/>
      <c r="BD121" s="169" t="n"/>
      <c r="BE121" s="169" t="n"/>
      <c r="BF121" s="169" t="n"/>
      <c r="BG121" s="169" t="n"/>
      <c r="BH121" s="169" t="n"/>
      <c r="BI121" s="169" t="n"/>
      <c r="BJ121" s="169" t="n"/>
      <c r="BK121" s="169" t="n"/>
      <c r="BL121" s="169" t="n"/>
      <c r="BM121" s="169" t="n"/>
      <c r="BN121" s="169" t="n"/>
      <c r="BO121" s="169" t="n"/>
      <c r="BP121" s="169" t="n"/>
      <c r="BQ121" s="169" t="n"/>
      <c r="BR121" s="169" t="n"/>
      <c r="BS121" s="169" t="n"/>
      <c r="BT121" s="169" t="n"/>
      <c r="BU121" s="169" t="n"/>
      <c r="BV121" s="169" t="n"/>
      <c r="BW121" s="169" t="n"/>
      <c r="BX121" s="169" t="n"/>
      <c r="BY121" s="169" t="n"/>
      <c r="BZ121" s="169" t="n"/>
      <c r="CA121" s="169" t="n"/>
      <c r="CB121" s="169" t="n"/>
      <c r="CC121" s="169" t="n"/>
      <c r="CD121" s="169" t="n"/>
    </row>
    <row r="122">
      <c r="A122" s="83" t="n"/>
      <c r="B122" s="169" t="n"/>
      <c r="C122" s="169" t="n"/>
      <c r="D122" s="169" t="n"/>
      <c r="E122" s="169" t="n"/>
      <c r="F122" s="169" t="n"/>
      <c r="G122" s="169" t="n"/>
      <c r="H122" s="169" t="n"/>
      <c r="I122" s="169" t="n"/>
      <c r="J122" s="169" t="n"/>
      <c r="K122" s="169" t="n"/>
      <c r="L122" s="169" t="n"/>
      <c r="M122" s="169" t="n"/>
      <c r="N122" s="169" t="n"/>
      <c r="O122" s="169" t="n"/>
      <c r="P122" s="169" t="n"/>
      <c r="Q122" s="169" t="n"/>
      <c r="R122" s="169" t="n"/>
      <c r="S122" s="169" t="n"/>
      <c r="T122" s="169" t="n"/>
      <c r="U122" s="169" t="n"/>
      <c r="V122" s="169" t="n"/>
      <c r="W122" s="169" t="n"/>
      <c r="X122" s="169" t="n"/>
      <c r="Y122" s="169" t="n"/>
      <c r="Z122" s="169" t="n"/>
      <c r="AA122" s="169" t="n"/>
      <c r="AB122" s="169" t="n"/>
      <c r="AC122" s="169" t="n"/>
      <c r="AD122" s="169" t="n"/>
      <c r="AE122" s="169" t="n"/>
      <c r="AF122" s="169" t="n"/>
      <c r="AG122" s="169" t="n"/>
      <c r="AH122" s="169" t="n"/>
      <c r="AI122" s="169" t="n"/>
      <c r="AJ122" s="169" t="n"/>
      <c r="AK122" s="169" t="n"/>
      <c r="AL122" s="169" t="n"/>
      <c r="AM122" s="169" t="n"/>
      <c r="AN122" s="169" t="n"/>
      <c r="AO122" s="169" t="n"/>
      <c r="AP122" s="169" t="n"/>
      <c r="AQ122" s="169" t="n"/>
      <c r="AR122" s="169" t="n"/>
      <c r="AS122" s="169" t="n"/>
      <c r="AT122" s="169" t="n"/>
      <c r="AU122" s="169" t="n"/>
      <c r="AV122" s="169" t="n"/>
      <c r="AW122" s="169" t="n"/>
      <c r="AX122" s="169" t="n"/>
      <c r="AY122" s="169" t="n"/>
      <c r="AZ122" s="169" t="n"/>
      <c r="BA122" s="169" t="n"/>
      <c r="BB122" s="169" t="n"/>
      <c r="BC122" s="169" t="n"/>
      <c r="BD122" s="169" t="n"/>
      <c r="BE122" s="169" t="n"/>
      <c r="BF122" s="169" t="n"/>
      <c r="BG122" s="169" t="n"/>
      <c r="BH122" s="169" t="n"/>
      <c r="BI122" s="169" t="n"/>
      <c r="BJ122" s="169" t="n"/>
      <c r="BK122" s="169" t="n"/>
      <c r="BL122" s="169" t="n"/>
      <c r="BM122" s="169" t="n"/>
      <c r="BN122" s="169" t="n"/>
      <c r="BO122" s="169" t="n"/>
      <c r="BP122" s="169" t="n"/>
      <c r="BQ122" s="169" t="n"/>
      <c r="BR122" s="169" t="n"/>
      <c r="BS122" s="169" t="n"/>
      <c r="BT122" s="169" t="n"/>
      <c r="BU122" s="169" t="n"/>
      <c r="BV122" s="169" t="n"/>
      <c r="BW122" s="169" t="n"/>
      <c r="BX122" s="169" t="n"/>
      <c r="BY122" s="169" t="n"/>
      <c r="BZ122" s="169" t="n"/>
      <c r="CA122" s="169" t="n"/>
      <c r="CB122" s="169" t="n"/>
      <c r="CC122" s="169" t="n"/>
      <c r="CD122" s="169" t="n"/>
    </row>
    <row r="123">
      <c r="A123" s="83" t="n"/>
      <c r="B123" s="169" t="n"/>
      <c r="C123" s="169" t="n"/>
      <c r="D123" s="169" t="n"/>
      <c r="E123" s="169" t="n"/>
      <c r="F123" s="169" t="n"/>
      <c r="G123" s="169" t="n"/>
      <c r="H123" s="169" t="n"/>
      <c r="I123" s="169" t="n"/>
      <c r="J123" s="169" t="n"/>
      <c r="K123" s="169" t="n"/>
      <c r="L123" s="169" t="n"/>
      <c r="M123" s="169" t="n"/>
      <c r="N123" s="169" t="n"/>
      <c r="O123" s="169" t="n"/>
      <c r="P123" s="169" t="n"/>
      <c r="Q123" s="169" t="n"/>
      <c r="R123" s="169" t="n"/>
      <c r="S123" s="169" t="n"/>
      <c r="T123" s="169" t="n"/>
      <c r="U123" s="169" t="n"/>
      <c r="V123" s="169" t="n"/>
      <c r="W123" s="169" t="n"/>
      <c r="X123" s="169" t="n"/>
      <c r="Y123" s="169" t="n"/>
      <c r="Z123" s="169" t="n"/>
      <c r="AA123" s="169" t="n"/>
      <c r="AB123" s="169" t="n"/>
      <c r="AC123" s="169" t="n"/>
      <c r="AD123" s="169" t="n"/>
      <c r="AE123" s="169" t="n"/>
      <c r="AF123" s="169" t="n"/>
      <c r="AG123" s="169" t="n"/>
      <c r="AH123" s="169" t="n"/>
      <c r="AI123" s="169" t="n"/>
      <c r="AJ123" s="169" t="n"/>
      <c r="AK123" s="169" t="n"/>
      <c r="AL123" s="169" t="n"/>
      <c r="AM123" s="169" t="n"/>
      <c r="AN123" s="169" t="n"/>
      <c r="AO123" s="169" t="n"/>
      <c r="AP123" s="169" t="n"/>
      <c r="AQ123" s="169" t="n"/>
      <c r="AR123" s="169" t="n"/>
      <c r="AS123" s="169" t="n"/>
      <c r="AT123" s="169" t="n"/>
      <c r="AU123" s="169" t="n"/>
      <c r="AV123" s="169" t="n"/>
      <c r="AW123" s="169" t="n"/>
      <c r="AX123" s="169" t="n"/>
      <c r="AY123" s="169" t="n"/>
      <c r="AZ123" s="169" t="n"/>
      <c r="BA123" s="169" t="n"/>
      <c r="BB123" s="169" t="n"/>
      <c r="BC123" s="169" t="n"/>
      <c r="BD123" s="169" t="n"/>
      <c r="BE123" s="169" t="n"/>
      <c r="BF123" s="169" t="n"/>
      <c r="BG123" s="169" t="n"/>
      <c r="BH123" s="169" t="n"/>
      <c r="BI123" s="169" t="n"/>
      <c r="BJ123" s="169" t="n"/>
      <c r="BK123" s="169" t="n"/>
      <c r="BL123" s="169" t="n"/>
      <c r="BM123" s="169" t="n"/>
      <c r="BN123" s="169" t="n"/>
      <c r="BO123" s="169" t="n"/>
      <c r="BP123" s="169" t="n"/>
      <c r="BQ123" s="169" t="n"/>
      <c r="BR123" s="169" t="n"/>
      <c r="BS123" s="169" t="n"/>
      <c r="BT123" s="169" t="n"/>
      <c r="BU123" s="169" t="n"/>
      <c r="BV123" s="169" t="n"/>
      <c r="BW123" s="169" t="n"/>
      <c r="BX123" s="169" t="n"/>
      <c r="BY123" s="169" t="n"/>
      <c r="BZ123" s="169" t="n"/>
      <c r="CA123" s="169" t="n"/>
      <c r="CB123" s="169" t="n"/>
      <c r="CC123" s="169" t="n"/>
      <c r="CD123" s="169" t="n"/>
    </row>
    <row r="124">
      <c r="A124" s="83" t="n"/>
      <c r="B124" s="169" t="n"/>
      <c r="C124" s="169" t="n"/>
      <c r="D124" s="169" t="n"/>
      <c r="E124" s="169" t="n"/>
      <c r="F124" s="169" t="n"/>
      <c r="G124" s="169" t="n"/>
      <c r="H124" s="169" t="n"/>
      <c r="I124" s="169" t="n"/>
      <c r="J124" s="169" t="n"/>
      <c r="K124" s="169" t="n"/>
      <c r="L124" s="169" t="n"/>
      <c r="M124" s="169" t="n"/>
      <c r="N124" s="169" t="n"/>
      <c r="O124" s="169" t="n"/>
      <c r="P124" s="169" t="n"/>
      <c r="Q124" s="169" t="n"/>
      <c r="R124" s="169" t="n"/>
      <c r="S124" s="169" t="n"/>
      <c r="T124" s="169" t="n"/>
      <c r="U124" s="169" t="n"/>
      <c r="V124" s="169" t="n"/>
      <c r="W124" s="169" t="n"/>
      <c r="X124" s="169" t="n"/>
      <c r="Y124" s="169" t="n"/>
      <c r="Z124" s="169" t="n"/>
      <c r="AA124" s="169" t="n"/>
      <c r="AB124" s="169" t="n"/>
      <c r="AC124" s="169" t="n"/>
      <c r="AD124" s="169" t="n"/>
      <c r="AE124" s="169" t="n"/>
      <c r="AF124" s="169" t="n"/>
      <c r="AG124" s="169" t="n"/>
      <c r="AH124" s="169" t="n"/>
      <c r="AI124" s="169" t="n"/>
      <c r="AJ124" s="169" t="n"/>
      <c r="AK124" s="169" t="n"/>
      <c r="AL124" s="169" t="n"/>
      <c r="AM124" s="169" t="n"/>
      <c r="AN124" s="169" t="n"/>
      <c r="AO124" s="169" t="n"/>
      <c r="AP124" s="169" t="n"/>
      <c r="AQ124" s="169" t="n"/>
      <c r="AR124" s="169" t="n"/>
      <c r="AS124" s="169" t="n"/>
      <c r="AT124" s="169" t="n"/>
      <c r="AU124" s="169" t="n"/>
      <c r="AV124" s="169" t="n"/>
      <c r="AW124" s="169" t="n"/>
      <c r="AX124" s="169" t="n"/>
      <c r="AY124" s="169" t="n"/>
      <c r="AZ124" s="169" t="n"/>
      <c r="BA124" s="169" t="n"/>
      <c r="BB124" s="169" t="n"/>
      <c r="BC124" s="169" t="n"/>
      <c r="BD124" s="169" t="n"/>
      <c r="BE124" s="169" t="n"/>
      <c r="BF124" s="169" t="n"/>
      <c r="BG124" s="169" t="n"/>
      <c r="BH124" s="169" t="n"/>
      <c r="BI124" s="169" t="n"/>
      <c r="BJ124" s="169" t="n"/>
      <c r="BK124" s="169" t="n"/>
      <c r="BL124" s="169" t="n"/>
      <c r="BM124" s="169" t="n"/>
      <c r="BN124" s="169" t="n"/>
      <c r="BO124" s="169" t="n"/>
      <c r="BP124" s="169" t="n"/>
      <c r="BQ124" s="169" t="n"/>
      <c r="BR124" s="169" t="n"/>
      <c r="BS124" s="169" t="n"/>
      <c r="BT124" s="169" t="n"/>
      <c r="BU124" s="169" t="n"/>
      <c r="BV124" s="169" t="n"/>
      <c r="BW124" s="169" t="n"/>
      <c r="BX124" s="169" t="n"/>
      <c r="BY124" s="169" t="n"/>
      <c r="BZ124" s="169" t="n"/>
      <c r="CA124" s="169" t="n"/>
      <c r="CB124" s="169" t="n"/>
      <c r="CC124" s="169" t="n"/>
      <c r="CD124" s="169" t="n"/>
    </row>
    <row r="125">
      <c r="A125" s="83" t="n"/>
      <c r="B125" s="169" t="n"/>
      <c r="C125" s="169" t="n"/>
      <c r="D125" s="169" t="n"/>
      <c r="E125" s="169" t="n"/>
      <c r="F125" s="169" t="n"/>
      <c r="G125" s="169" t="n"/>
      <c r="H125" s="169" t="n"/>
      <c r="I125" s="169" t="n"/>
      <c r="J125" s="169" t="n"/>
      <c r="K125" s="169" t="n"/>
      <c r="L125" s="169" t="n"/>
      <c r="M125" s="169" t="n"/>
      <c r="N125" s="169" t="n"/>
      <c r="O125" s="169" t="n"/>
      <c r="P125" s="169" t="n"/>
      <c r="Q125" s="169" t="n"/>
      <c r="R125" s="169" t="n"/>
      <c r="S125" s="169" t="n"/>
      <c r="T125" s="169" t="n"/>
      <c r="U125" s="169" t="n"/>
      <c r="V125" s="169" t="n"/>
      <c r="W125" s="169" t="n"/>
      <c r="X125" s="169" t="n"/>
      <c r="Y125" s="169" t="n"/>
      <c r="Z125" s="169" t="n"/>
      <c r="AA125" s="169" t="n"/>
      <c r="AB125" s="169" t="n"/>
      <c r="AC125" s="169" t="n"/>
      <c r="AD125" s="169" t="n"/>
      <c r="AE125" s="169" t="n"/>
      <c r="AF125" s="169" t="n"/>
      <c r="AG125" s="169" t="n"/>
      <c r="AH125" s="169" t="n"/>
      <c r="AI125" s="169" t="n"/>
      <c r="AJ125" s="169" t="n"/>
      <c r="AK125" s="169" t="n"/>
      <c r="AL125" s="169" t="n"/>
      <c r="AM125" s="169" t="n"/>
      <c r="AN125" s="169" t="n"/>
      <c r="AO125" s="169" t="n"/>
      <c r="AP125" s="169" t="n"/>
      <c r="AQ125" s="169" t="n"/>
      <c r="AR125" s="169" t="n"/>
      <c r="AS125" s="169" t="n"/>
      <c r="AT125" s="169" t="n"/>
      <c r="AU125" s="169" t="n"/>
      <c r="AV125" s="169" t="n"/>
      <c r="AW125" s="169" t="n"/>
      <c r="AX125" s="169" t="n"/>
      <c r="AY125" s="169" t="n"/>
      <c r="AZ125" s="169" t="n"/>
      <c r="BA125" s="169" t="n"/>
      <c r="BB125" s="169" t="n"/>
      <c r="BC125" s="169" t="n"/>
      <c r="BD125" s="169" t="n"/>
      <c r="BE125" s="169" t="n"/>
      <c r="BF125" s="169" t="n"/>
      <c r="BG125" s="169" t="n"/>
      <c r="BH125" s="169" t="n"/>
      <c r="BI125" s="169" t="n"/>
      <c r="BJ125" s="169" t="n"/>
      <c r="BK125" s="169" t="n"/>
      <c r="BL125" s="169" t="n"/>
      <c r="BM125" s="169" t="n"/>
      <c r="BN125" s="169" t="n"/>
      <c r="BO125" s="169" t="n"/>
      <c r="BP125" s="169" t="n"/>
      <c r="BQ125" s="169" t="n"/>
      <c r="BR125" s="169" t="n"/>
      <c r="BS125" s="169" t="n"/>
      <c r="BT125" s="169" t="n"/>
      <c r="BU125" s="169" t="n"/>
      <c r="BV125" s="169" t="n"/>
      <c r="BW125" s="169" t="n"/>
      <c r="BX125" s="169" t="n"/>
      <c r="BY125" s="169" t="n"/>
      <c r="BZ125" s="169" t="n"/>
      <c r="CA125" s="169" t="n"/>
      <c r="CB125" s="169" t="n"/>
      <c r="CC125" s="169" t="n"/>
      <c r="CD125" s="169" t="n"/>
    </row>
    <row r="126">
      <c r="A126" s="83" t="n"/>
      <c r="B126" s="169" t="n"/>
      <c r="C126" s="169" t="n"/>
      <c r="D126" s="169" t="n"/>
      <c r="E126" s="169" t="n"/>
      <c r="F126" s="169" t="n"/>
      <c r="G126" s="169" t="n"/>
      <c r="H126" s="169" t="n"/>
      <c r="I126" s="169" t="n"/>
      <c r="J126" s="169" t="n"/>
      <c r="K126" s="169" t="n"/>
      <c r="L126" s="169" t="n"/>
      <c r="M126" s="169" t="n"/>
      <c r="N126" s="169" t="n"/>
      <c r="O126" s="169" t="n"/>
      <c r="P126" s="169" t="n"/>
      <c r="Q126" s="169" t="n"/>
      <c r="R126" s="169" t="n"/>
      <c r="S126" s="169" t="n"/>
      <c r="T126" s="169" t="n"/>
      <c r="U126" s="169" t="n"/>
      <c r="V126" s="169" t="n"/>
      <c r="W126" s="169" t="n"/>
      <c r="X126" s="169" t="n"/>
      <c r="Y126" s="169" t="n"/>
      <c r="Z126" s="169" t="n"/>
      <c r="AA126" s="169" t="n"/>
      <c r="AB126" s="169" t="n"/>
      <c r="AC126" s="169" t="n"/>
      <c r="AD126" s="169" t="n"/>
      <c r="AE126" s="169" t="n"/>
      <c r="AF126" s="169" t="n"/>
      <c r="AG126" s="169" t="n"/>
      <c r="AH126" s="169" t="n"/>
      <c r="AI126" s="169" t="n"/>
      <c r="AJ126" s="169" t="n"/>
      <c r="AK126" s="169" t="n"/>
      <c r="AL126" s="169" t="n"/>
      <c r="AM126" s="169" t="n"/>
      <c r="AN126" s="169" t="n"/>
      <c r="AO126" s="169" t="n"/>
      <c r="AP126" s="169" t="n"/>
      <c r="AQ126" s="169" t="n"/>
      <c r="AR126" s="169" t="n"/>
      <c r="AS126" s="169" t="n"/>
      <c r="AT126" s="169" t="n"/>
      <c r="AU126" s="169" t="n"/>
      <c r="AV126" s="169" t="n"/>
      <c r="AW126" s="169" t="n"/>
      <c r="AX126" s="169" t="n"/>
      <c r="AY126" s="169" t="n"/>
      <c r="AZ126" s="169" t="n"/>
      <c r="BA126" s="169" t="n"/>
      <c r="BB126" s="169" t="n"/>
      <c r="BC126" s="169" t="n"/>
      <c r="BD126" s="169" t="n"/>
      <c r="BE126" s="169" t="n"/>
      <c r="BF126" s="169" t="n"/>
      <c r="BG126" s="169" t="n"/>
      <c r="BH126" s="169" t="n"/>
      <c r="BI126" s="169" t="n"/>
      <c r="BJ126" s="169" t="n"/>
      <c r="BK126" s="169" t="n"/>
      <c r="BL126" s="169" t="n"/>
      <c r="BM126" s="169" t="n"/>
      <c r="BN126" s="169" t="n"/>
      <c r="BO126" s="169" t="n"/>
      <c r="BP126" s="169" t="n"/>
      <c r="BQ126" s="169" t="n"/>
      <c r="BR126" s="169" t="n"/>
      <c r="BS126" s="169" t="n"/>
      <c r="BT126" s="169" t="n"/>
      <c r="BU126" s="169" t="n"/>
      <c r="BV126" s="169" t="n"/>
      <c r="BW126" s="169" t="n"/>
      <c r="BX126" s="169" t="n"/>
      <c r="BY126" s="169" t="n"/>
      <c r="BZ126" s="169" t="n"/>
      <c r="CA126" s="169" t="n"/>
      <c r="CB126" s="169" t="n"/>
      <c r="CC126" s="169" t="n"/>
      <c r="CD126" s="169" t="n"/>
    </row>
    <row r="127">
      <c r="A127" s="83" t="n"/>
      <c r="B127" s="169" t="n"/>
      <c r="C127" s="169" t="n"/>
      <c r="D127" s="169" t="n"/>
      <c r="E127" s="169" t="n"/>
      <c r="F127" s="169" t="n"/>
      <c r="G127" s="169" t="n"/>
      <c r="H127" s="169" t="n"/>
      <c r="I127" s="169" t="n"/>
      <c r="J127" s="169" t="n"/>
      <c r="K127" s="169" t="n"/>
      <c r="L127" s="169" t="n"/>
      <c r="M127" s="169" t="n"/>
      <c r="N127" s="169" t="n"/>
      <c r="O127" s="169" t="n"/>
      <c r="P127" s="169" t="n"/>
      <c r="Q127" s="169" t="n"/>
      <c r="R127" s="169" t="n"/>
      <c r="S127" s="169" t="n"/>
      <c r="T127" s="169" t="n"/>
      <c r="U127" s="169" t="n"/>
      <c r="V127" s="169" t="n"/>
      <c r="W127" s="169" t="n"/>
      <c r="X127" s="169" t="n"/>
      <c r="Y127" s="169" t="n"/>
      <c r="Z127" s="169" t="n"/>
      <c r="AA127" s="169" t="n"/>
      <c r="AB127" s="169" t="n"/>
      <c r="AC127" s="169" t="n"/>
      <c r="AD127" s="169" t="n"/>
      <c r="AE127" s="169" t="n"/>
      <c r="AF127" s="169" t="n"/>
      <c r="AG127" s="169" t="n"/>
      <c r="AH127" s="169" t="n"/>
      <c r="AI127" s="169" t="n"/>
      <c r="AJ127" s="169" t="n"/>
      <c r="AK127" s="169" t="n"/>
      <c r="AL127" s="169" t="n"/>
      <c r="AM127" s="169" t="n"/>
      <c r="AN127" s="169" t="n"/>
      <c r="AO127" s="169" t="n"/>
      <c r="AP127" s="169" t="n"/>
      <c r="AQ127" s="169" t="n"/>
      <c r="AR127" s="169" t="n"/>
      <c r="AS127" s="169" t="n"/>
      <c r="AT127" s="169" t="n"/>
      <c r="AU127" s="169" t="n"/>
      <c r="AV127" s="169" t="n"/>
      <c r="AW127" s="169" t="n"/>
      <c r="AX127" s="169" t="n"/>
      <c r="AY127" s="169" t="n"/>
      <c r="AZ127" s="169" t="n"/>
      <c r="BA127" s="169" t="n"/>
      <c r="BB127" s="169" t="n"/>
      <c r="BC127" s="169" t="n"/>
      <c r="BD127" s="169" t="n"/>
      <c r="BE127" s="169" t="n"/>
      <c r="BF127" s="169" t="n"/>
      <c r="BG127" s="169" t="n"/>
      <c r="BH127" s="169" t="n"/>
      <c r="BI127" s="169" t="n"/>
      <c r="BJ127" s="169" t="n"/>
      <c r="BK127" s="169" t="n"/>
      <c r="BL127" s="169" t="n"/>
      <c r="BM127" s="169" t="n"/>
      <c r="BN127" s="169" t="n"/>
      <c r="BO127" s="169" t="n"/>
      <c r="BP127" s="169" t="n"/>
      <c r="BQ127" s="169" t="n"/>
      <c r="BR127" s="169" t="n"/>
      <c r="BS127" s="169" t="n"/>
      <c r="BT127" s="169" t="n"/>
      <c r="BU127" s="169" t="n"/>
      <c r="BV127" s="169" t="n"/>
      <c r="BW127" s="169" t="n"/>
      <c r="BX127" s="169" t="n"/>
      <c r="BY127" s="169" t="n"/>
      <c r="BZ127" s="169" t="n"/>
      <c r="CA127" s="169" t="n"/>
      <c r="CB127" s="169" t="n"/>
      <c r="CC127" s="169" t="n"/>
      <c r="CD127" s="169" t="n"/>
    </row>
    <row r="128">
      <c r="A128" s="83" t="n"/>
      <c r="B128" s="169" t="n"/>
      <c r="C128" s="169" t="n"/>
      <c r="D128" s="169" t="n"/>
      <c r="E128" s="169" t="n"/>
      <c r="F128" s="169" t="n"/>
      <c r="G128" s="169" t="n"/>
      <c r="H128" s="169" t="n"/>
      <c r="I128" s="169" t="n"/>
      <c r="J128" s="169" t="n"/>
      <c r="K128" s="169" t="n"/>
      <c r="L128" s="169" t="n"/>
      <c r="M128" s="169" t="n"/>
      <c r="N128" s="169" t="n"/>
      <c r="O128" s="169" t="n"/>
      <c r="P128" s="169" t="n"/>
      <c r="Q128" s="169" t="n"/>
      <c r="R128" s="169" t="n"/>
      <c r="S128" s="169" t="n"/>
      <c r="T128" s="169" t="n"/>
      <c r="U128" s="169" t="n"/>
      <c r="V128" s="169" t="n"/>
      <c r="W128" s="169" t="n"/>
      <c r="X128" s="169" t="n"/>
      <c r="Y128" s="169" t="n"/>
      <c r="Z128" s="169" t="n"/>
      <c r="AA128" s="169" t="n"/>
      <c r="AB128" s="169" t="n"/>
      <c r="AC128" s="169" t="n"/>
      <c r="AD128" s="169" t="n"/>
      <c r="AE128" s="169" t="n"/>
      <c r="AF128" s="169" t="n"/>
      <c r="AG128" s="169" t="n"/>
      <c r="AH128" s="169" t="n"/>
      <c r="AI128" s="169" t="n"/>
      <c r="AJ128" s="169" t="n"/>
      <c r="AK128" s="169" t="n"/>
      <c r="AL128" s="169" t="n"/>
      <c r="AM128" s="169" t="n"/>
      <c r="AN128" s="169" t="n"/>
      <c r="AO128" s="169" t="n"/>
      <c r="AP128" s="169" t="n"/>
      <c r="AQ128" s="169" t="n"/>
      <c r="AR128" s="169" t="n"/>
      <c r="AS128" s="169" t="n"/>
      <c r="AT128" s="169" t="n"/>
      <c r="AU128" s="169" t="n"/>
      <c r="AV128" s="169" t="n"/>
      <c r="AW128" s="169" t="n"/>
      <c r="AX128" s="169" t="n"/>
      <c r="AY128" s="169" t="n"/>
      <c r="AZ128" s="169" t="n"/>
      <c r="BA128" s="169" t="n"/>
      <c r="BB128" s="169" t="n"/>
      <c r="BC128" s="169" t="n"/>
      <c r="BD128" s="169" t="n"/>
      <c r="BE128" s="169" t="n"/>
      <c r="BF128" s="169" t="n"/>
      <c r="BG128" s="169" t="n"/>
      <c r="BH128" s="169" t="n"/>
      <c r="BI128" s="169" t="n"/>
      <c r="BJ128" s="169" t="n"/>
      <c r="BK128" s="169" t="n"/>
      <c r="BL128" s="169" t="n"/>
      <c r="BM128" s="169" t="n"/>
      <c r="BN128" s="169" t="n"/>
      <c r="BO128" s="169" t="n"/>
      <c r="BP128" s="169" t="n"/>
      <c r="BQ128" s="169" t="n"/>
      <c r="BR128" s="169" t="n"/>
      <c r="BS128" s="169" t="n"/>
      <c r="BT128" s="169" t="n"/>
      <c r="BU128" s="169" t="n"/>
      <c r="BV128" s="169" t="n"/>
      <c r="BW128" s="169" t="n"/>
      <c r="BX128" s="169" t="n"/>
      <c r="BY128" s="169" t="n"/>
      <c r="BZ128" s="169" t="n"/>
      <c r="CA128" s="169" t="n"/>
      <c r="CB128" s="169" t="n"/>
      <c r="CC128" s="169" t="n"/>
      <c r="CD128" s="169" t="n"/>
    </row>
    <row r="129">
      <c r="A129" s="83" t="n"/>
      <c r="B129" s="169" t="n"/>
      <c r="C129" s="169" t="n"/>
      <c r="D129" s="169" t="n"/>
      <c r="E129" s="169" t="n"/>
      <c r="F129" s="169" t="n"/>
      <c r="G129" s="169" t="n"/>
      <c r="H129" s="169" t="n"/>
      <c r="I129" s="169" t="n"/>
      <c r="J129" s="169" t="n"/>
      <c r="K129" s="169" t="n"/>
      <c r="L129" s="169" t="n"/>
      <c r="M129" s="169" t="n"/>
      <c r="N129" s="169" t="n"/>
      <c r="O129" s="169" t="n"/>
      <c r="P129" s="169" t="n"/>
      <c r="Q129" s="169" t="n"/>
      <c r="R129" s="169" t="n"/>
      <c r="S129" s="169" t="n"/>
      <c r="T129" s="169" t="n"/>
      <c r="U129" s="169" t="n"/>
      <c r="V129" s="169" t="n"/>
      <c r="W129" s="169" t="n"/>
      <c r="X129" s="169" t="n"/>
      <c r="Y129" s="169" t="n"/>
      <c r="Z129" s="169" t="n"/>
      <c r="AA129" s="169" t="n"/>
      <c r="AB129" s="169" t="n"/>
      <c r="AC129" s="169" t="n"/>
      <c r="AD129" s="169" t="n"/>
      <c r="AE129" s="169" t="n"/>
      <c r="AF129" s="169" t="n"/>
      <c r="AG129" s="169" t="n"/>
      <c r="AH129" s="169" t="n"/>
      <c r="AI129" s="169" t="n"/>
      <c r="AJ129" s="169" t="n"/>
      <c r="AK129" s="169" t="n"/>
      <c r="AL129" s="169" t="n"/>
      <c r="AM129" s="169" t="n"/>
      <c r="AN129" s="169" t="n"/>
      <c r="AO129" s="169" t="n"/>
      <c r="AP129" s="169" t="n"/>
      <c r="AQ129" s="169" t="n"/>
      <c r="AR129" s="169" t="n"/>
      <c r="AS129" s="169" t="n"/>
      <c r="AT129" s="169" t="n"/>
      <c r="AU129" s="169" t="n"/>
      <c r="AV129" s="169" t="n"/>
      <c r="AW129" s="169" t="n"/>
      <c r="AX129" s="169" t="n"/>
      <c r="AY129" s="169" t="n"/>
      <c r="AZ129" s="169" t="n"/>
      <c r="BA129" s="169" t="n"/>
      <c r="BB129" s="169" t="n"/>
      <c r="BC129" s="169" t="n"/>
      <c r="BD129" s="169" t="n"/>
      <c r="BE129" s="169" t="n"/>
      <c r="BF129" s="169" t="n"/>
      <c r="BG129" s="169" t="n"/>
      <c r="BH129" s="169" t="n"/>
      <c r="BI129" s="169" t="n"/>
      <c r="BJ129" s="169" t="n"/>
      <c r="BK129" s="169" t="n"/>
      <c r="BL129" s="169" t="n"/>
      <c r="BM129" s="169" t="n"/>
      <c r="BN129" s="169" t="n"/>
      <c r="BO129" s="169" t="n"/>
      <c r="BP129" s="169" t="n"/>
      <c r="BQ129" s="169" t="n"/>
      <c r="BR129" s="169" t="n"/>
      <c r="BS129" s="169" t="n"/>
      <c r="BT129" s="169" t="n"/>
      <c r="BU129" s="169" t="n"/>
      <c r="BV129" s="169" t="n"/>
      <c r="BW129" s="169" t="n"/>
      <c r="BX129" s="169" t="n"/>
      <c r="BY129" s="169" t="n"/>
      <c r="BZ129" s="169" t="n"/>
      <c r="CA129" s="169" t="n"/>
      <c r="CB129" s="169" t="n"/>
      <c r="CC129" s="169" t="n"/>
      <c r="CD129" s="169" t="n"/>
    </row>
    <row r="130">
      <c r="A130" s="83" t="n"/>
      <c r="B130" s="169" t="n"/>
      <c r="C130" s="169" t="n"/>
      <c r="D130" s="169" t="n"/>
      <c r="E130" s="169" t="n"/>
      <c r="F130" s="169" t="n"/>
      <c r="G130" s="169" t="n"/>
      <c r="H130" s="169" t="n"/>
      <c r="I130" s="169" t="n"/>
      <c r="J130" s="169" t="n"/>
      <c r="K130" s="169" t="n"/>
      <c r="L130" s="169" t="n"/>
      <c r="M130" s="169" t="n"/>
      <c r="N130" s="169" t="n"/>
      <c r="O130" s="169" t="n"/>
      <c r="P130" s="169" t="n"/>
      <c r="Q130" s="169" t="n"/>
      <c r="R130" s="169" t="n"/>
      <c r="S130" s="169" t="n"/>
      <c r="T130" s="169" t="n"/>
      <c r="U130" s="169" t="n"/>
      <c r="V130" s="169" t="n"/>
      <c r="W130" s="169" t="n"/>
      <c r="X130" s="169" t="n"/>
      <c r="Y130" s="169" t="n"/>
      <c r="Z130" s="169" t="n"/>
      <c r="AA130" s="169" t="n"/>
      <c r="AB130" s="169" t="n"/>
      <c r="AC130" s="169" t="n"/>
      <c r="AD130" s="169" t="n"/>
      <c r="AE130" s="169" t="n"/>
      <c r="AF130" s="169" t="n"/>
      <c r="AG130" s="169" t="n"/>
      <c r="AH130" s="169" t="n"/>
      <c r="AI130" s="169" t="n"/>
      <c r="AJ130" s="169" t="n"/>
      <c r="AK130" s="169" t="n"/>
      <c r="AL130" s="169" t="n"/>
      <c r="AM130" s="169" t="n"/>
      <c r="AN130" s="169" t="n"/>
      <c r="AO130" s="169" t="n"/>
      <c r="AP130" s="169" t="n"/>
      <c r="AQ130" s="169" t="n"/>
      <c r="AR130" s="169" t="n"/>
      <c r="AS130" s="169" t="n"/>
      <c r="AT130" s="169" t="n"/>
      <c r="AU130" s="169" t="n"/>
      <c r="AV130" s="169" t="n"/>
      <c r="AW130" s="169" t="n"/>
      <c r="AX130" s="169" t="n"/>
      <c r="AY130" s="169" t="n"/>
      <c r="AZ130" s="169" t="n"/>
      <c r="BA130" s="169" t="n"/>
      <c r="BB130" s="169" t="n"/>
      <c r="BC130" s="169" t="n"/>
      <c r="BD130" s="169" t="n"/>
      <c r="BE130" s="169" t="n"/>
      <c r="BF130" s="169" t="n"/>
      <c r="BG130" s="169" t="n"/>
      <c r="BH130" s="169" t="n"/>
      <c r="BI130" s="169" t="n"/>
      <c r="BJ130" s="169" t="n"/>
      <c r="BK130" s="169" t="n"/>
      <c r="BL130" s="169" t="n"/>
      <c r="BM130" s="169" t="n"/>
      <c r="BN130" s="169" t="n"/>
      <c r="BO130" s="169" t="n"/>
      <c r="BP130" s="169" t="n"/>
      <c r="BQ130" s="169" t="n"/>
      <c r="BR130" s="169" t="n"/>
      <c r="BS130" s="169" t="n"/>
      <c r="BT130" s="169" t="n"/>
      <c r="BU130" s="169" t="n"/>
      <c r="BV130" s="169" t="n"/>
      <c r="BW130" s="169" t="n"/>
      <c r="BX130" s="169" t="n"/>
      <c r="BY130" s="169" t="n"/>
      <c r="BZ130" s="169" t="n"/>
      <c r="CA130" s="169" t="n"/>
      <c r="CB130" s="169" t="n"/>
      <c r="CC130" s="169" t="n"/>
      <c r="CD130" s="169" t="n"/>
    </row>
    <row r="131">
      <c r="A131" s="83" t="n"/>
      <c r="B131" s="169" t="n"/>
      <c r="C131" s="169" t="n"/>
      <c r="D131" s="169" t="n"/>
      <c r="E131" s="169" t="n"/>
      <c r="F131" s="169" t="n"/>
      <c r="G131" s="169" t="n"/>
      <c r="H131" s="169" t="n"/>
      <c r="I131" s="169" t="n"/>
      <c r="J131" s="169" t="n"/>
      <c r="K131" s="169" t="n"/>
      <c r="L131" s="169" t="n"/>
      <c r="M131" s="169" t="n"/>
      <c r="N131" s="169" t="n"/>
      <c r="O131" s="169" t="n"/>
      <c r="P131" s="169" t="n"/>
      <c r="Q131" s="169" t="n"/>
      <c r="R131" s="169" t="n"/>
      <c r="S131" s="169" t="n"/>
      <c r="T131" s="169" t="n"/>
      <c r="U131" s="169" t="n"/>
      <c r="V131" s="169" t="n"/>
      <c r="W131" s="169" t="n"/>
      <c r="X131" s="169" t="n"/>
      <c r="Y131" s="169" t="n"/>
      <c r="Z131" s="169" t="n"/>
      <c r="AA131" s="169" t="n"/>
      <c r="AB131" s="169" t="n"/>
      <c r="AC131" s="169" t="n"/>
      <c r="AD131" s="169" t="n"/>
      <c r="AE131" s="169" t="n"/>
      <c r="AF131" s="169" t="n"/>
      <c r="AG131" s="169" t="n"/>
      <c r="AH131" s="169" t="n"/>
      <c r="AI131" s="169" t="n"/>
      <c r="AJ131" s="169" t="n"/>
      <c r="AK131" s="169" t="n"/>
      <c r="AL131" s="169" t="n"/>
      <c r="AM131" s="169" t="n"/>
      <c r="AN131" s="169" t="n"/>
      <c r="AO131" s="169" t="n"/>
      <c r="AP131" s="169" t="n"/>
      <c r="AQ131" s="169" t="n"/>
      <c r="AR131" s="169" t="n"/>
      <c r="AS131" s="169" t="n"/>
      <c r="AT131" s="169" t="n"/>
      <c r="AU131" s="169" t="n"/>
      <c r="AV131" s="169" t="n"/>
      <c r="AW131" s="169" t="n"/>
      <c r="AX131" s="169" t="n"/>
      <c r="AY131" s="169" t="n"/>
      <c r="AZ131" s="169" t="n"/>
      <c r="BA131" s="169" t="n"/>
      <c r="BB131" s="169" t="n"/>
      <c r="BC131" s="169" t="n"/>
      <c r="BD131" s="169" t="n"/>
      <c r="BE131" s="169" t="n"/>
      <c r="BF131" s="169" t="n"/>
      <c r="BG131" s="169" t="n"/>
      <c r="BH131" s="169" t="n"/>
      <c r="BI131" s="169" t="n"/>
      <c r="BJ131" s="169" t="n"/>
      <c r="BK131" s="169" t="n"/>
      <c r="BL131" s="169" t="n"/>
      <c r="BM131" s="169" t="n"/>
      <c r="BN131" s="169" t="n"/>
      <c r="BO131" s="169" t="n"/>
      <c r="BP131" s="169" t="n"/>
      <c r="BQ131" s="169" t="n"/>
      <c r="BR131" s="169" t="n"/>
      <c r="BS131" s="169" t="n"/>
      <c r="BT131" s="169" t="n"/>
      <c r="BU131" s="169" t="n"/>
      <c r="BV131" s="169" t="n"/>
      <c r="BW131" s="169" t="n"/>
      <c r="BX131" s="169" t="n"/>
      <c r="BY131" s="169" t="n"/>
      <c r="BZ131" s="169" t="n"/>
      <c r="CA131" s="169" t="n"/>
      <c r="CB131" s="169" t="n"/>
      <c r="CC131" s="169" t="n"/>
      <c r="CD131" s="169" t="n"/>
    </row>
    <row r="132">
      <c r="A132" s="83" t="n"/>
      <c r="B132" s="169" t="n"/>
      <c r="C132" s="169" t="n"/>
      <c r="D132" s="169" t="n"/>
      <c r="E132" s="169" t="n"/>
      <c r="F132" s="169" t="n"/>
      <c r="G132" s="169" t="n"/>
      <c r="H132" s="169" t="n"/>
      <c r="I132" s="169" t="n"/>
      <c r="J132" s="169" t="n"/>
      <c r="K132" s="169" t="n"/>
      <c r="L132" s="169" t="n"/>
      <c r="M132" s="169" t="n"/>
      <c r="N132" s="169" t="n"/>
      <c r="O132" s="169" t="n"/>
      <c r="P132" s="169" t="n"/>
      <c r="Q132" s="169" t="n"/>
      <c r="R132" s="169" t="n"/>
      <c r="S132" s="169" t="n"/>
      <c r="T132" s="169" t="n"/>
      <c r="U132" s="169" t="n"/>
      <c r="V132" s="169" t="n"/>
      <c r="W132" s="169" t="n"/>
      <c r="X132" s="169" t="n"/>
      <c r="Y132" s="169" t="n"/>
      <c r="Z132" s="169" t="n"/>
      <c r="AA132" s="169" t="n"/>
      <c r="AB132" s="169" t="n"/>
      <c r="AC132" s="169" t="n"/>
      <c r="AD132" s="169" t="n"/>
      <c r="AE132" s="169" t="n"/>
      <c r="AF132" s="169" t="n"/>
      <c r="AG132" s="169" t="n"/>
      <c r="AH132" s="169" t="n"/>
      <c r="AI132" s="169" t="n"/>
      <c r="AJ132" s="169" t="n"/>
      <c r="AK132" s="169" t="n"/>
      <c r="AL132" s="169" t="n"/>
      <c r="AM132" s="169" t="n"/>
      <c r="AN132" s="169" t="n"/>
      <c r="AO132" s="169" t="n"/>
      <c r="AP132" s="169" t="n"/>
      <c r="AQ132" s="169" t="n"/>
      <c r="AR132" s="169" t="n"/>
      <c r="AS132" s="169" t="n"/>
      <c r="AT132" s="169" t="n"/>
      <c r="AU132" s="169" t="n"/>
      <c r="AV132" s="169" t="n"/>
      <c r="AW132" s="169" t="n"/>
      <c r="AX132" s="169" t="n"/>
      <c r="AY132" s="169" t="n"/>
      <c r="AZ132" s="169" t="n"/>
      <c r="BA132" s="169" t="n"/>
      <c r="BB132" s="169" t="n"/>
      <c r="BC132" s="169" t="n"/>
      <c r="BD132" s="169" t="n"/>
      <c r="BE132" s="169" t="n"/>
      <c r="BF132" s="169" t="n"/>
      <c r="BG132" s="169" t="n"/>
      <c r="BH132" s="169" t="n"/>
      <c r="BI132" s="169" t="n"/>
      <c r="BJ132" s="169" t="n"/>
      <c r="BK132" s="169" t="n"/>
      <c r="BL132" s="169" t="n"/>
      <c r="BM132" s="169" t="n"/>
      <c r="BN132" s="169" t="n"/>
      <c r="BO132" s="169" t="n"/>
      <c r="BP132" s="169" t="n"/>
      <c r="BQ132" s="169" t="n"/>
      <c r="BR132" s="169" t="n"/>
      <c r="BS132" s="169" t="n"/>
      <c r="BT132" s="169" t="n"/>
      <c r="BU132" s="169" t="n"/>
      <c r="BV132" s="169" t="n"/>
      <c r="BW132" s="169" t="n"/>
      <c r="BX132" s="169" t="n"/>
      <c r="BY132" s="169" t="n"/>
      <c r="BZ132" s="169" t="n"/>
      <c r="CA132" s="169" t="n"/>
      <c r="CB132" s="169" t="n"/>
      <c r="CC132" s="169" t="n"/>
      <c r="CD132" s="169" t="n"/>
    </row>
    <row r="133">
      <c r="A133" s="83" t="n"/>
      <c r="B133" s="169" t="n"/>
      <c r="C133" s="169" t="n"/>
      <c r="D133" s="169" t="n"/>
      <c r="E133" s="169" t="n"/>
      <c r="F133" s="169" t="n"/>
      <c r="G133" s="169" t="n"/>
      <c r="H133" s="169" t="n"/>
      <c r="I133" s="169" t="n"/>
      <c r="J133" s="169" t="n"/>
      <c r="K133" s="169" t="n"/>
      <c r="L133" s="169" t="n"/>
      <c r="M133" s="169" t="n"/>
      <c r="N133" s="169" t="n"/>
      <c r="O133" s="169" t="n"/>
      <c r="P133" s="169" t="n"/>
      <c r="Q133" s="169" t="n"/>
      <c r="R133" s="169" t="n"/>
      <c r="S133" s="169" t="n"/>
      <c r="T133" s="169" t="n"/>
      <c r="U133" s="169" t="n"/>
      <c r="V133" s="169" t="n"/>
      <c r="W133" s="169" t="n"/>
      <c r="X133" s="169" t="n"/>
      <c r="Y133" s="169" t="n"/>
      <c r="Z133" s="169" t="n"/>
      <c r="AA133" s="169" t="n"/>
      <c r="AB133" s="169" t="n"/>
      <c r="AC133" s="169" t="n"/>
      <c r="AD133" s="169" t="n"/>
      <c r="AE133" s="169" t="n"/>
      <c r="AF133" s="169" t="n"/>
      <c r="AG133" s="169" t="n"/>
      <c r="AH133" s="169" t="n"/>
      <c r="AI133" s="169" t="n"/>
      <c r="AJ133" s="169" t="n"/>
      <c r="AK133" s="169" t="n"/>
      <c r="AL133" s="169" t="n"/>
      <c r="AM133" s="169" t="n"/>
      <c r="AN133" s="169" t="n"/>
      <c r="AO133" s="169" t="n"/>
      <c r="AP133" s="169" t="n"/>
      <c r="AQ133" s="169" t="n"/>
      <c r="AR133" s="169" t="n"/>
      <c r="AS133" s="169" t="n"/>
      <c r="AT133" s="169" t="n"/>
      <c r="AU133" s="169" t="n"/>
      <c r="AV133" s="169" t="n"/>
      <c r="AW133" s="169" t="n"/>
      <c r="AX133" s="169" t="n"/>
      <c r="AY133" s="169" t="n"/>
      <c r="AZ133" s="169" t="n"/>
      <c r="BA133" s="169" t="n"/>
      <c r="BB133" s="169" t="n"/>
      <c r="BC133" s="169" t="n"/>
      <c r="BD133" s="169" t="n"/>
      <c r="BE133" s="169" t="n"/>
      <c r="BF133" s="169" t="n"/>
      <c r="BG133" s="169" t="n"/>
      <c r="BH133" s="169" t="n"/>
      <c r="BI133" s="169" t="n"/>
      <c r="BJ133" s="169" t="n"/>
      <c r="BK133" s="169" t="n"/>
      <c r="BL133" s="169" t="n"/>
      <c r="BM133" s="169" t="n"/>
      <c r="BN133" s="169" t="n"/>
      <c r="BO133" s="169" t="n"/>
      <c r="BP133" s="169" t="n"/>
      <c r="BQ133" s="169" t="n"/>
      <c r="BR133" s="169" t="n"/>
      <c r="BS133" s="169" t="n"/>
      <c r="BT133" s="169" t="n"/>
      <c r="BU133" s="169" t="n"/>
      <c r="BV133" s="169" t="n"/>
      <c r="BW133" s="169" t="n"/>
      <c r="BX133" s="169" t="n"/>
      <c r="BY133" s="169" t="n"/>
      <c r="BZ133" s="169" t="n"/>
      <c r="CA133" s="169" t="n"/>
      <c r="CB133" s="169" t="n"/>
      <c r="CC133" s="169" t="n"/>
      <c r="CD133" s="169" t="n"/>
    </row>
    <row r="134">
      <c r="A134" s="83" t="n"/>
      <c r="B134" s="169" t="n"/>
      <c r="C134" s="169" t="n"/>
      <c r="D134" s="169" t="n"/>
      <c r="E134" s="169" t="n"/>
      <c r="F134" s="169" t="n"/>
      <c r="G134" s="169" t="n"/>
      <c r="H134" s="169" t="n"/>
      <c r="I134" s="169" t="n"/>
      <c r="J134" s="169" t="n"/>
      <c r="K134" s="169" t="n"/>
      <c r="L134" s="169" t="n"/>
      <c r="M134" s="169" t="n"/>
      <c r="N134" s="169" t="n"/>
      <c r="O134" s="169" t="n"/>
      <c r="P134" s="169" t="n"/>
      <c r="Q134" s="169" t="n"/>
      <c r="R134" s="169" t="n"/>
      <c r="S134" s="169" t="n"/>
      <c r="T134" s="169" t="n"/>
      <c r="U134" s="169" t="n"/>
      <c r="V134" s="169" t="n"/>
      <c r="W134" s="169" t="n"/>
      <c r="X134" s="169" t="n"/>
      <c r="Y134" s="169" t="n"/>
      <c r="Z134" s="169" t="n"/>
      <c r="AA134" s="169" t="n"/>
      <c r="AB134" s="169" t="n"/>
      <c r="AC134" s="169" t="n"/>
      <c r="AD134" s="169" t="n"/>
      <c r="AE134" s="169" t="n"/>
      <c r="AF134" s="169" t="n"/>
      <c r="AG134" s="169" t="n"/>
      <c r="AH134" s="169" t="n"/>
      <c r="AI134" s="169" t="n"/>
      <c r="AJ134" s="169" t="n"/>
      <c r="AK134" s="169" t="n"/>
      <c r="AL134" s="169" t="n"/>
      <c r="AM134" s="169" t="n"/>
      <c r="AN134" s="169" t="n"/>
      <c r="AO134" s="169" t="n"/>
      <c r="AP134" s="169" t="n"/>
      <c r="AQ134" s="169" t="n"/>
      <c r="AR134" s="169" t="n"/>
      <c r="AS134" s="169" t="n"/>
      <c r="AT134" s="169" t="n"/>
      <c r="AU134" s="169" t="n"/>
      <c r="AV134" s="169" t="n"/>
      <c r="AW134" s="169" t="n"/>
      <c r="AX134" s="169" t="n"/>
      <c r="AY134" s="169" t="n"/>
      <c r="AZ134" s="169" t="n"/>
      <c r="BA134" s="169" t="n"/>
      <c r="BB134" s="169" t="n"/>
      <c r="BC134" s="169" t="n"/>
      <c r="BD134" s="169" t="n"/>
      <c r="BE134" s="169" t="n"/>
      <c r="BF134" s="169" t="n"/>
      <c r="BG134" s="169" t="n"/>
      <c r="BH134" s="169" t="n"/>
      <c r="BI134" s="169" t="n"/>
      <c r="BJ134" s="169" t="n"/>
      <c r="BK134" s="169" t="n"/>
      <c r="BL134" s="169" t="n"/>
      <c r="BM134" s="169" t="n"/>
      <c r="BN134" s="169" t="n"/>
      <c r="BO134" s="169" t="n"/>
      <c r="BP134" s="169" t="n"/>
      <c r="BQ134" s="169" t="n"/>
      <c r="BR134" s="169" t="n"/>
      <c r="BS134" s="169" t="n"/>
      <c r="BT134" s="169" t="n"/>
      <c r="BU134" s="169" t="n"/>
      <c r="BV134" s="169" t="n"/>
      <c r="BW134" s="169" t="n"/>
      <c r="BX134" s="169" t="n"/>
      <c r="BY134" s="169" t="n"/>
      <c r="BZ134" s="169" t="n"/>
      <c r="CA134" s="169" t="n"/>
      <c r="CB134" s="169" t="n"/>
      <c r="CC134" s="169" t="n"/>
      <c r="CD134" s="169" t="n"/>
    </row>
    <row r="135">
      <c r="A135" s="83" t="n"/>
      <c r="B135" s="169" t="n"/>
      <c r="C135" s="169" t="n"/>
      <c r="D135" s="169" t="n"/>
      <c r="E135" s="169" t="n"/>
      <c r="F135" s="169" t="n"/>
      <c r="G135" s="169" t="n"/>
      <c r="H135" s="169" t="n"/>
      <c r="I135" s="169" t="n"/>
      <c r="J135" s="169" t="n"/>
      <c r="K135" s="169" t="n"/>
      <c r="L135" s="169" t="n"/>
      <c r="M135" s="169" t="n"/>
      <c r="N135" s="169" t="n"/>
      <c r="O135" s="169" t="n"/>
      <c r="P135" s="169" t="n"/>
      <c r="Q135" s="169" t="n"/>
      <c r="R135" s="169" t="n"/>
      <c r="S135" s="169" t="n"/>
      <c r="T135" s="169" t="n"/>
      <c r="U135" s="169" t="n"/>
      <c r="V135" s="169" t="n"/>
      <c r="W135" s="169" t="n"/>
      <c r="X135" s="169" t="n"/>
      <c r="Y135" s="169" t="n"/>
      <c r="Z135" s="169" t="n"/>
      <c r="AA135" s="169" t="n"/>
      <c r="AB135" s="169" t="n"/>
      <c r="AC135" s="169" t="n"/>
      <c r="AD135" s="169" t="n"/>
      <c r="AE135" s="169" t="n"/>
      <c r="AF135" s="169" t="n"/>
      <c r="AG135" s="169" t="n"/>
      <c r="AH135" s="169" t="n"/>
      <c r="AI135" s="169" t="n"/>
      <c r="AJ135" s="169" t="n"/>
      <c r="AK135" s="169" t="n"/>
      <c r="AL135" s="169" t="n"/>
      <c r="AM135" s="169" t="n"/>
      <c r="AN135" s="169" t="n"/>
      <c r="AO135" s="169" t="n"/>
      <c r="AP135" s="169" t="n"/>
      <c r="AQ135" s="169" t="n"/>
      <c r="AR135" s="169" t="n"/>
      <c r="AS135" s="169" t="n"/>
      <c r="AT135" s="169" t="n"/>
      <c r="AU135" s="169" t="n"/>
      <c r="AV135" s="169" t="n"/>
      <c r="AW135" s="169" t="n"/>
      <c r="AX135" s="169" t="n"/>
      <c r="AY135" s="169" t="n"/>
      <c r="AZ135" s="169" t="n"/>
      <c r="BA135" s="169" t="n"/>
      <c r="BB135" s="169" t="n"/>
      <c r="BC135" s="169" t="n"/>
      <c r="BD135" s="169" t="n"/>
      <c r="BE135" s="169" t="n"/>
      <c r="BF135" s="169" t="n"/>
      <c r="BG135" s="169" t="n"/>
      <c r="BH135" s="169" t="n"/>
      <c r="BI135" s="169" t="n"/>
      <c r="BJ135" s="169" t="n"/>
      <c r="BK135" s="169" t="n"/>
      <c r="BL135" s="169" t="n"/>
      <c r="BM135" s="169" t="n"/>
      <c r="BN135" s="169" t="n"/>
      <c r="BO135" s="169" t="n"/>
      <c r="BP135" s="169" t="n"/>
      <c r="BQ135" s="169" t="n"/>
      <c r="BR135" s="169" t="n"/>
      <c r="BS135" s="169" t="n"/>
      <c r="BT135" s="169" t="n"/>
      <c r="BU135" s="169" t="n"/>
      <c r="BV135" s="169" t="n"/>
      <c r="BW135" s="169" t="n"/>
      <c r="BX135" s="169" t="n"/>
      <c r="BY135" s="169" t="n"/>
      <c r="BZ135" s="169" t="n"/>
      <c r="CA135" s="169" t="n"/>
      <c r="CB135" s="169" t="n"/>
      <c r="CC135" s="169" t="n"/>
      <c r="CD135" s="169" t="n"/>
    </row>
    <row r="136">
      <c r="A136" s="83" t="n"/>
      <c r="B136" s="169" t="n"/>
      <c r="C136" s="169" t="n"/>
      <c r="D136" s="169" t="n"/>
      <c r="E136" s="169" t="n"/>
      <c r="F136" s="169" t="n"/>
      <c r="G136" s="169" t="n"/>
      <c r="H136" s="169" t="n"/>
      <c r="I136" s="169" t="n"/>
      <c r="J136" s="169" t="n"/>
      <c r="K136" s="169" t="n"/>
      <c r="L136" s="169" t="n"/>
      <c r="M136" s="169" t="n"/>
      <c r="N136" s="169" t="n"/>
      <c r="O136" s="169" t="n"/>
      <c r="P136" s="169" t="n"/>
      <c r="Q136" s="169" t="n"/>
      <c r="R136" s="169" t="n"/>
      <c r="S136" s="169" t="n"/>
      <c r="T136" s="169" t="n"/>
      <c r="U136" s="169" t="n"/>
      <c r="V136" s="169" t="n"/>
      <c r="W136" s="169" t="n"/>
      <c r="X136" s="169" t="n"/>
      <c r="Y136" s="169" t="n"/>
      <c r="Z136" s="169" t="n"/>
      <c r="AA136" s="169" t="n"/>
      <c r="AB136" s="169" t="n"/>
      <c r="AC136" s="169" t="n"/>
      <c r="AD136" s="169" t="n"/>
      <c r="AE136" s="169" t="n"/>
      <c r="AF136" s="169" t="n"/>
      <c r="AG136" s="169" t="n"/>
      <c r="AH136" s="169" t="n"/>
      <c r="AI136" s="169" t="n"/>
      <c r="AJ136" s="169" t="n"/>
      <c r="AK136" s="169" t="n"/>
      <c r="AL136" s="169" t="n"/>
      <c r="AM136" s="169" t="n"/>
      <c r="AN136" s="169" t="n"/>
      <c r="AO136" s="169" t="n"/>
      <c r="AP136" s="169" t="n"/>
      <c r="AQ136" s="169" t="n"/>
      <c r="AR136" s="169" t="n"/>
      <c r="AS136" s="169" t="n"/>
      <c r="AT136" s="169" t="n"/>
      <c r="AU136" s="169" t="n"/>
      <c r="AV136" s="169" t="n"/>
      <c r="AW136" s="169" t="n"/>
      <c r="AX136" s="169" t="n"/>
      <c r="AY136" s="169" t="n"/>
      <c r="AZ136" s="169" t="n"/>
      <c r="BA136" s="169" t="n"/>
      <c r="BB136" s="169" t="n"/>
      <c r="BC136" s="169" t="n"/>
      <c r="BD136" s="169" t="n"/>
      <c r="BE136" s="169" t="n"/>
      <c r="BF136" s="169" t="n"/>
      <c r="BG136" s="169" t="n"/>
      <c r="BH136" s="169" t="n"/>
      <c r="BI136" s="169" t="n"/>
      <c r="BJ136" s="169" t="n"/>
      <c r="BK136" s="169" t="n"/>
      <c r="BL136" s="169" t="n"/>
      <c r="BM136" s="169" t="n"/>
      <c r="BN136" s="169" t="n"/>
      <c r="BO136" s="169" t="n"/>
      <c r="BP136" s="169" t="n"/>
      <c r="BQ136" s="169" t="n"/>
      <c r="BR136" s="169" t="n"/>
      <c r="BS136" s="169" t="n"/>
      <c r="BT136" s="169" t="n"/>
      <c r="BU136" s="169" t="n"/>
      <c r="BV136" s="169" t="n"/>
      <c r="BW136" s="169" t="n"/>
      <c r="BX136" s="169" t="n"/>
      <c r="BY136" s="169" t="n"/>
      <c r="BZ136" s="169" t="n"/>
      <c r="CA136" s="169" t="n"/>
      <c r="CB136" s="169" t="n"/>
      <c r="CC136" s="169" t="n"/>
      <c r="CD136" s="169" t="n"/>
    </row>
    <row r="137">
      <c r="A137" s="83" t="n"/>
      <c r="B137" s="169" t="n"/>
      <c r="C137" s="169" t="n"/>
      <c r="D137" s="169" t="n"/>
      <c r="E137" s="169" t="n"/>
      <c r="F137" s="169" t="n"/>
      <c r="G137" s="169" t="n"/>
      <c r="H137" s="169" t="n"/>
      <c r="I137" s="169" t="n"/>
      <c r="J137" s="169" t="n"/>
      <c r="K137" s="169" t="n"/>
      <c r="L137" s="169" t="n"/>
      <c r="M137" s="169" t="n"/>
      <c r="N137" s="169" t="n"/>
      <c r="O137" s="169" t="n"/>
      <c r="P137" s="169" t="n"/>
      <c r="Q137" s="169" t="n"/>
      <c r="R137" s="169" t="n"/>
      <c r="S137" s="169" t="n"/>
      <c r="T137" s="169" t="n"/>
      <c r="U137" s="169" t="n"/>
      <c r="V137" s="169" t="n"/>
      <c r="W137" s="169" t="n"/>
      <c r="X137" s="169" t="n"/>
      <c r="Y137" s="169" t="n"/>
      <c r="Z137" s="169" t="n"/>
      <c r="AA137" s="169" t="n"/>
      <c r="AB137" s="169" t="n"/>
      <c r="AC137" s="169" t="n"/>
      <c r="AD137" s="169" t="n"/>
      <c r="AE137" s="169" t="n"/>
      <c r="AF137" s="169" t="n"/>
      <c r="AG137" s="169" t="n"/>
      <c r="AH137" s="169" t="n"/>
      <c r="AI137" s="169" t="n"/>
      <c r="AJ137" s="169" t="n"/>
      <c r="AK137" s="169" t="n"/>
      <c r="AL137" s="169" t="n"/>
      <c r="AM137" s="169" t="n"/>
      <c r="AN137" s="169" t="n"/>
      <c r="AO137" s="169" t="n"/>
      <c r="AP137" s="169" t="n"/>
      <c r="AQ137" s="169" t="n"/>
      <c r="AR137" s="169" t="n"/>
      <c r="AS137" s="169" t="n"/>
      <c r="AT137" s="169" t="n"/>
      <c r="AU137" s="169" t="n"/>
      <c r="AV137" s="169" t="n"/>
      <c r="AW137" s="169" t="n"/>
      <c r="AX137" s="169" t="n"/>
      <c r="AY137" s="169" t="n"/>
      <c r="AZ137" s="169" t="n"/>
      <c r="BA137" s="169" t="n"/>
      <c r="BB137" s="169" t="n"/>
      <c r="BC137" s="169" t="n"/>
      <c r="BD137" s="169" t="n"/>
      <c r="BE137" s="169" t="n"/>
      <c r="BF137" s="169" t="n"/>
      <c r="BG137" s="169" t="n"/>
      <c r="BH137" s="169" t="n"/>
      <c r="BI137" s="169" t="n"/>
      <c r="BJ137" s="169" t="n"/>
      <c r="BK137" s="169" t="n"/>
      <c r="BL137" s="169" t="n"/>
      <c r="BM137" s="169" t="n"/>
      <c r="BN137" s="169" t="n"/>
      <c r="BO137" s="169" t="n"/>
      <c r="BP137" s="169" t="n"/>
      <c r="BQ137" s="169" t="n"/>
      <c r="BR137" s="169" t="n"/>
      <c r="BS137" s="169" t="n"/>
      <c r="BT137" s="169" t="n"/>
      <c r="BU137" s="169" t="n"/>
      <c r="BV137" s="169" t="n"/>
      <c r="BW137" s="169" t="n"/>
      <c r="BX137" s="169" t="n"/>
      <c r="BY137" s="169" t="n"/>
      <c r="BZ137" s="169" t="n"/>
      <c r="CA137" s="169" t="n"/>
      <c r="CB137" s="169" t="n"/>
      <c r="CC137" s="169" t="n"/>
      <c r="CD137" s="169" t="n"/>
    </row>
    <row r="138">
      <c r="A138" s="83" t="n"/>
      <c r="B138" s="169" t="n"/>
      <c r="C138" s="169" t="n"/>
      <c r="D138" s="169" t="n"/>
      <c r="E138" s="169" t="n"/>
      <c r="F138" s="169" t="n"/>
      <c r="G138" s="169" t="n"/>
      <c r="H138" s="169" t="n"/>
      <c r="I138" s="169" t="n"/>
      <c r="J138" s="169" t="n"/>
      <c r="K138" s="169" t="n"/>
      <c r="L138" s="169" t="n"/>
      <c r="M138" s="169" t="n"/>
      <c r="N138" s="169" t="n"/>
      <c r="O138" s="169" t="n"/>
      <c r="P138" s="169" t="n"/>
      <c r="Q138" s="169" t="n"/>
      <c r="R138" s="169" t="n"/>
      <c r="S138" s="169" t="n"/>
      <c r="T138" s="169" t="n"/>
      <c r="U138" s="169" t="n"/>
      <c r="V138" s="169" t="n"/>
      <c r="W138" s="169" t="n"/>
      <c r="X138" s="169" t="n"/>
      <c r="Y138" s="169" t="n"/>
      <c r="Z138" s="169" t="n"/>
      <c r="AA138" s="169" t="n"/>
      <c r="AB138" s="169" t="n"/>
      <c r="AC138" s="169" t="n"/>
      <c r="AD138" s="169" t="n"/>
      <c r="AE138" s="169" t="n"/>
      <c r="AF138" s="169" t="n"/>
      <c r="AG138" s="169" t="n"/>
      <c r="AH138" s="169" t="n"/>
      <c r="AI138" s="169" t="n"/>
      <c r="AJ138" s="169" t="n"/>
      <c r="AK138" s="169" t="n"/>
      <c r="AL138" s="169" t="n"/>
      <c r="AM138" s="169" t="n"/>
      <c r="AN138" s="169" t="n"/>
      <c r="AO138" s="169" t="n"/>
      <c r="AP138" s="169" t="n"/>
      <c r="AQ138" s="169" t="n"/>
      <c r="AR138" s="169" t="n"/>
      <c r="AS138" s="169" t="n"/>
      <c r="AT138" s="169" t="n"/>
      <c r="AU138" s="169" t="n"/>
      <c r="AV138" s="169" t="n"/>
      <c r="AW138" s="169" t="n"/>
      <c r="AX138" s="169" t="n"/>
      <c r="AY138" s="169" t="n"/>
      <c r="AZ138" s="169" t="n"/>
      <c r="BA138" s="169" t="n"/>
      <c r="BB138" s="169" t="n"/>
      <c r="BC138" s="169" t="n"/>
      <c r="BD138" s="169" t="n"/>
      <c r="BE138" s="169" t="n"/>
      <c r="BF138" s="169" t="n"/>
      <c r="BG138" s="169" t="n"/>
      <c r="BH138" s="169" t="n"/>
      <c r="BI138" s="169" t="n"/>
      <c r="BJ138" s="169" t="n"/>
      <c r="BK138" s="169" t="n"/>
      <c r="BL138" s="169" t="n"/>
      <c r="BM138" s="169" t="n"/>
      <c r="BN138" s="169" t="n"/>
      <c r="BO138" s="169" t="n"/>
      <c r="BP138" s="169" t="n"/>
      <c r="BQ138" s="169" t="n"/>
      <c r="BR138" s="169" t="n"/>
      <c r="BS138" s="169" t="n"/>
      <c r="BT138" s="169" t="n"/>
      <c r="BU138" s="169" t="n"/>
      <c r="BV138" s="169" t="n"/>
      <c r="BW138" s="169" t="n"/>
      <c r="BX138" s="169" t="n"/>
      <c r="BY138" s="169" t="n"/>
      <c r="BZ138" s="169" t="n"/>
      <c r="CA138" s="169" t="n"/>
      <c r="CB138" s="169" t="n"/>
      <c r="CC138" s="169" t="n"/>
      <c r="CD138" s="169" t="n"/>
    </row>
    <row r="139">
      <c r="A139" s="83" t="n"/>
      <c r="B139" s="169" t="n"/>
      <c r="C139" s="169" t="n"/>
      <c r="D139" s="169" t="n"/>
      <c r="E139" s="169" t="n"/>
      <c r="F139" s="169" t="n"/>
      <c r="G139" s="169" t="n"/>
      <c r="H139" s="169" t="n"/>
      <c r="I139" s="169" t="n"/>
      <c r="J139" s="169" t="n"/>
      <c r="K139" s="169" t="n"/>
      <c r="L139" s="169" t="n"/>
      <c r="M139" s="169" t="n"/>
      <c r="N139" s="169" t="n"/>
      <c r="O139" s="169" t="n"/>
      <c r="P139" s="169" t="n"/>
      <c r="Q139" s="169" t="n"/>
      <c r="R139" s="169" t="n"/>
      <c r="S139" s="169" t="n"/>
      <c r="T139" s="169" t="n"/>
      <c r="U139" s="169" t="n"/>
      <c r="V139" s="169" t="n"/>
      <c r="W139" s="169" t="n"/>
      <c r="X139" s="169" t="n"/>
      <c r="Y139" s="169" t="n"/>
      <c r="Z139" s="169" t="n"/>
      <c r="AA139" s="169" t="n"/>
      <c r="AB139" s="169" t="n"/>
      <c r="AC139" s="169" t="n"/>
      <c r="AD139" s="169" t="n"/>
      <c r="AE139" s="169" t="n"/>
      <c r="AF139" s="169" t="n"/>
      <c r="AG139" s="169" t="n"/>
      <c r="AH139" s="169" t="n"/>
      <c r="AI139" s="169" t="n"/>
      <c r="AJ139" s="169" t="n"/>
      <c r="AK139" s="169" t="n"/>
      <c r="AL139" s="169" t="n"/>
      <c r="AM139" s="169" t="n"/>
      <c r="AN139" s="169" t="n"/>
      <c r="AO139" s="169" t="n"/>
      <c r="AP139" s="169" t="n"/>
      <c r="AQ139" s="169" t="n"/>
      <c r="AR139" s="169" t="n"/>
      <c r="AS139" s="169" t="n"/>
      <c r="AT139" s="169" t="n"/>
      <c r="AU139" s="169" t="n"/>
      <c r="AV139" s="169" t="n"/>
      <c r="AW139" s="169" t="n"/>
      <c r="AX139" s="169" t="n"/>
      <c r="AY139" s="169" t="n"/>
      <c r="AZ139" s="169" t="n"/>
      <c r="BA139" s="169" t="n"/>
      <c r="BB139" s="169" t="n"/>
      <c r="BC139" s="169" t="n"/>
      <c r="BD139" s="169" t="n"/>
      <c r="BE139" s="169" t="n"/>
      <c r="BF139" s="169" t="n"/>
      <c r="BG139" s="169" t="n"/>
      <c r="BH139" s="169" t="n"/>
      <c r="BI139" s="169" t="n"/>
      <c r="BJ139" s="169" t="n"/>
      <c r="BK139" s="169" t="n"/>
      <c r="BL139" s="169" t="n"/>
      <c r="BM139" s="169" t="n"/>
      <c r="BN139" s="169" t="n"/>
      <c r="BO139" s="169" t="n"/>
      <c r="BP139" s="169" t="n"/>
      <c r="BQ139" s="169" t="n"/>
      <c r="BR139" s="169" t="n"/>
      <c r="BS139" s="169" t="n"/>
      <c r="BT139" s="169" t="n"/>
      <c r="BU139" s="169" t="n"/>
      <c r="BV139" s="169" t="n"/>
      <c r="BW139" s="169" t="n"/>
      <c r="BX139" s="169" t="n"/>
      <c r="BY139" s="169" t="n"/>
      <c r="BZ139" s="169" t="n"/>
      <c r="CA139" s="169" t="n"/>
      <c r="CB139" s="169" t="n"/>
      <c r="CC139" s="169" t="n"/>
      <c r="CD139" s="169" t="n"/>
    </row>
    <row r="140">
      <c r="A140" s="109" t="n"/>
      <c r="B140" s="110" t="n"/>
      <c r="C140" s="110" t="n"/>
      <c r="D140" s="110" t="n"/>
      <c r="E140" s="110" t="n"/>
      <c r="F140" s="110" t="n"/>
      <c r="G140" s="110" t="n"/>
      <c r="H140" s="110" t="n"/>
      <c r="I140" s="110" t="n"/>
      <c r="J140" s="110" t="n"/>
      <c r="K140" s="110" t="n"/>
      <c r="L140" s="110" t="n"/>
      <c r="M140" s="110" t="n"/>
      <c r="N140" s="110" t="n"/>
      <c r="O140" s="110" t="n"/>
      <c r="P140" s="110" t="n"/>
      <c r="Q140" s="110" t="n"/>
      <c r="R140" s="110" t="n"/>
      <c r="S140" s="110" t="n"/>
      <c r="T140" s="110" t="n"/>
      <c r="U140" s="110" t="n"/>
      <c r="V140" s="110" t="n"/>
      <c r="W140" s="110" t="n"/>
      <c r="X140" s="110" t="n"/>
      <c r="Y140" s="110" t="n"/>
      <c r="Z140" s="110" t="n"/>
      <c r="AA140" s="110" t="n"/>
      <c r="AB140" s="110" t="n"/>
      <c r="AC140" s="110" t="n"/>
      <c r="AD140" s="110" t="n"/>
      <c r="AE140" s="110" t="n"/>
      <c r="AF140" s="110" t="n"/>
      <c r="AG140" s="110" t="n"/>
      <c r="AH140" s="110" t="n"/>
      <c r="AI140" s="110" t="n"/>
      <c r="AJ140" s="110" t="n"/>
      <c r="AK140" s="110" t="n"/>
      <c r="AL140" s="110" t="n"/>
      <c r="AM140" s="110" t="n"/>
      <c r="AN140" s="110" t="n"/>
      <c r="AO140" s="110" t="n"/>
      <c r="AP140" s="110" t="n"/>
      <c r="AQ140" s="110" t="n"/>
      <c r="AR140" s="110" t="n"/>
      <c r="AS140" s="110" t="n"/>
      <c r="AT140" s="110" t="n"/>
      <c r="AU140" s="110" t="n"/>
      <c r="AV140" s="110" t="n"/>
      <c r="AW140" s="110" t="n"/>
      <c r="AX140" s="110" t="n"/>
      <c r="AY140" s="110" t="n"/>
      <c r="AZ140" s="110" t="n"/>
      <c r="BA140" s="110" t="n"/>
      <c r="BB140" s="110" t="n"/>
      <c r="BC140" s="110" t="n"/>
      <c r="BD140" s="110" t="n"/>
      <c r="BE140" s="110" t="n"/>
      <c r="BF140" s="110" t="n"/>
      <c r="BG140" s="110" t="n"/>
      <c r="BH140" s="110" t="n"/>
      <c r="BI140" s="110" t="n"/>
      <c r="BJ140" s="110" t="n"/>
      <c r="BK140" s="110" t="n"/>
      <c r="BL140" s="110" t="n"/>
      <c r="BM140" s="110" t="n"/>
      <c r="BN140" s="110" t="n"/>
      <c r="BO140" s="110" t="n"/>
      <c r="BP140" s="110" t="n"/>
      <c r="BQ140" s="110" t="n"/>
      <c r="BR140" s="110" t="n"/>
      <c r="BS140" s="110" t="n"/>
      <c r="BT140" s="110" t="n"/>
      <c r="BU140" s="110" t="n"/>
      <c r="BV140" s="110" t="n"/>
      <c r="BW140" s="110" t="n"/>
      <c r="BX140" s="110" t="n"/>
      <c r="BY140" s="110" t="n"/>
      <c r="BZ140" s="110" t="n"/>
      <c r="CA140" s="110" t="n"/>
      <c r="CB140" s="110" t="n"/>
      <c r="CC140" s="110" t="n"/>
      <c r="CD140" s="110" t="n"/>
    </row>
  </sheetData>
  <mergeCells count="5">
    <mergeCell ref="B82:K83"/>
    <mergeCell ref="J10:L10"/>
    <mergeCell ref="B8:L9"/>
    <mergeCell ref="J84:L84"/>
    <mergeCell ref="B6:L7"/>
  </mergeCells>
  <hyperlinks>
    <hyperlink xmlns:r="http://schemas.openxmlformats.org/officeDocument/2006/relationships" ref="B70" r:id="rId1"/>
    <hyperlink xmlns:r="http://schemas.openxmlformats.org/officeDocument/2006/relationships" ref="B73" r:id="rId2"/>
    <hyperlink xmlns:r="http://schemas.openxmlformats.org/officeDocument/2006/relationships" ref="B76" r:id="rId3"/>
  </hyperlink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48.13" customWidth="1" style="284" min="3" max="3"/>
  </cols>
  <sheetData>
    <row r="1">
      <c r="A1" s="136" t="inlineStr">
        <is>
          <t>Source: https://www.gov.uk/government/publications/traded-carbon-values-used-for-modelling-purposes-2023/traded-carbon-values-used-for-modelling-purposes-2023</t>
        </is>
      </c>
    </row>
    <row r="4">
      <c r="A4" s="251" t="inlineStr">
        <is>
          <t>Table 1: Traded carbon values for modelling purposes, £/tCO2e (real 2023)</t>
        </is>
      </c>
    </row>
    <row r="5">
      <c r="A5" s="251" t="n"/>
    </row>
    <row r="6">
      <c r="A6" s="252" t="inlineStr">
        <is>
          <t>Year</t>
        </is>
      </c>
      <c r="B6" s="253" t="inlineStr">
        <is>
          <t>Market Carbon Values</t>
        </is>
      </c>
      <c r="C6" s="253" t="inlineStr">
        <is>
          <t>Low Sensitivity - High Fossil Fuel Prices and Low Economic Growth</t>
        </is>
      </c>
      <c r="D6" s="253" t="inlineStr">
        <is>
          <t>Net Zero Strategy Aligned</t>
        </is>
      </c>
      <c r="E6" s="253" t="inlineStr">
        <is>
          <t>High Sensitivity – Low Fossil Fuel Prices and High Economic Growth</t>
        </is>
      </c>
    </row>
    <row r="7">
      <c r="A7" s="255" t="n"/>
      <c r="B7" s="253" t="inlineStr">
        <is>
          <t>(2023 GBP)</t>
        </is>
      </c>
      <c r="C7" s="253" t="inlineStr">
        <is>
          <t>(2023 GBP)</t>
        </is>
      </c>
      <c r="D7" s="253" t="inlineStr">
        <is>
          <t>(2023 GBP)</t>
        </is>
      </c>
      <c r="E7" s="253" t="inlineStr">
        <is>
          <t>(2023 GBP)</t>
        </is>
      </c>
    </row>
    <row r="8">
      <c r="A8" s="255" t="n">
        <v>2023</v>
      </c>
      <c r="B8" s="256" t="n">
        <v>70</v>
      </c>
      <c r="C8" s="256" t="n">
        <v>51</v>
      </c>
      <c r="D8" s="256" t="n">
        <v>59</v>
      </c>
      <c r="E8" s="256" t="n">
        <v>64</v>
      </c>
    </row>
    <row r="9">
      <c r="A9" s="255" t="n">
        <v>2024</v>
      </c>
      <c r="B9" s="256" t="n">
        <v>72</v>
      </c>
      <c r="C9" s="256" t="n">
        <v>63</v>
      </c>
      <c r="D9" s="256" t="n">
        <v>76</v>
      </c>
      <c r="E9" s="256" t="n">
        <v>84</v>
      </c>
    </row>
    <row r="10">
      <c r="A10" s="255" t="n">
        <v>2025</v>
      </c>
      <c r="B10" s="256" t="n">
        <v>79</v>
      </c>
      <c r="C10" s="256" t="n">
        <v>71</v>
      </c>
      <c r="D10" s="256" t="n">
        <v>88</v>
      </c>
      <c r="E10" s="256" t="n">
        <v>100</v>
      </c>
    </row>
    <row r="11">
      <c r="A11" s="255" t="n">
        <v>2026</v>
      </c>
      <c r="B11" s="256" t="n">
        <v>91</v>
      </c>
      <c r="C11" s="256" t="n">
        <v>77</v>
      </c>
      <c r="D11" s="256" t="n">
        <v>98</v>
      </c>
      <c r="E11" s="256" t="n">
        <v>114</v>
      </c>
    </row>
    <row r="12">
      <c r="A12" s="255" t="n">
        <v>2027</v>
      </c>
      <c r="B12" s="256" t="n">
        <v>97</v>
      </c>
      <c r="C12" s="256" t="n">
        <v>73</v>
      </c>
      <c r="D12" s="256" t="n">
        <v>97</v>
      </c>
      <c r="E12" s="256" t="n">
        <v>116</v>
      </c>
    </row>
    <row r="13">
      <c r="A13" s="255" t="n">
        <v>2028</v>
      </c>
      <c r="B13" s="256" t="n">
        <v>98</v>
      </c>
      <c r="C13" s="256" t="n">
        <v>69</v>
      </c>
      <c r="D13" s="256" t="n">
        <v>98</v>
      </c>
      <c r="E13" s="256" t="n">
        <v>124</v>
      </c>
    </row>
    <row r="14">
      <c r="A14" s="255" t="n">
        <v>2029</v>
      </c>
      <c r="B14" s="256" t="n">
        <v>89</v>
      </c>
      <c r="C14" s="256" t="n">
        <v>58</v>
      </c>
      <c r="D14" s="256" t="n">
        <v>89</v>
      </c>
      <c r="E14" s="256" t="n">
        <v>118</v>
      </c>
    </row>
    <row r="15">
      <c r="A15" s="255" t="n">
        <v>2030</v>
      </c>
      <c r="B15" s="256" t="n">
        <v>87</v>
      </c>
      <c r="C15" s="256" t="n">
        <v>56</v>
      </c>
      <c r="D15" s="256" t="n">
        <v>87</v>
      </c>
      <c r="E15" s="256" t="n">
        <v>118</v>
      </c>
    </row>
    <row r="16">
      <c r="A16" s="255" t="n">
        <v>2031</v>
      </c>
      <c r="B16" s="256" t="n">
        <v>94</v>
      </c>
      <c r="C16" s="256" t="n">
        <v>60</v>
      </c>
      <c r="D16" s="256" t="n">
        <v>94</v>
      </c>
      <c r="E16" s="256" t="n">
        <v>128</v>
      </c>
    </row>
    <row r="17">
      <c r="A17" s="255" t="n">
        <v>2032</v>
      </c>
      <c r="B17" s="256" t="n">
        <v>101</v>
      </c>
      <c r="C17" s="256" t="n">
        <v>67</v>
      </c>
      <c r="D17" s="256" t="n">
        <v>101</v>
      </c>
      <c r="E17" s="256" t="n">
        <v>131</v>
      </c>
    </row>
    <row r="18">
      <c r="A18" s="255" t="n">
        <v>2033</v>
      </c>
      <c r="B18" s="256" t="n">
        <v>108</v>
      </c>
      <c r="C18" s="256" t="n">
        <v>70</v>
      </c>
      <c r="D18" s="256" t="n">
        <v>108</v>
      </c>
      <c r="E18" s="256" t="n">
        <v>136</v>
      </c>
    </row>
    <row r="19">
      <c r="A19" s="255" t="n">
        <v>2034</v>
      </c>
      <c r="B19" s="256" t="n">
        <v>111</v>
      </c>
      <c r="C19" s="256" t="n">
        <v>72</v>
      </c>
      <c r="D19" s="256" t="n">
        <v>111</v>
      </c>
      <c r="E19" s="256" t="n">
        <v>139</v>
      </c>
    </row>
    <row r="20">
      <c r="A20" s="255" t="n">
        <v>2035</v>
      </c>
      <c r="B20" s="256" t="n">
        <v>121</v>
      </c>
      <c r="C20" s="256" t="n">
        <v>80</v>
      </c>
      <c r="D20" s="256" t="n">
        <v>121</v>
      </c>
      <c r="E20" s="256" t="n">
        <v>149</v>
      </c>
    </row>
    <row r="21">
      <c r="A21" s="255" t="n">
        <v>2036</v>
      </c>
      <c r="B21" s="256" t="n">
        <v>128</v>
      </c>
      <c r="C21" s="256" t="n">
        <v>85</v>
      </c>
      <c r="D21" s="256" t="n">
        <v>128</v>
      </c>
      <c r="E21" s="256" t="n">
        <v>156</v>
      </c>
    </row>
    <row r="22">
      <c r="A22" s="255" t="n">
        <v>2037</v>
      </c>
      <c r="B22" s="256" t="n">
        <v>135</v>
      </c>
      <c r="C22" s="256" t="n">
        <v>94</v>
      </c>
      <c r="D22" s="256" t="n">
        <v>135</v>
      </c>
      <c r="E22" s="256" t="n">
        <v>162</v>
      </c>
    </row>
    <row r="23">
      <c r="A23" s="255" t="n">
        <v>2038</v>
      </c>
      <c r="B23" s="256" t="n">
        <v>145</v>
      </c>
      <c r="C23" s="256" t="n">
        <v>104</v>
      </c>
      <c r="D23" s="256" t="n">
        <v>145</v>
      </c>
      <c r="E23" s="256" t="n">
        <v>170</v>
      </c>
    </row>
    <row r="24">
      <c r="A24" s="255" t="n">
        <v>2039</v>
      </c>
      <c r="B24" s="256" t="n">
        <v>145</v>
      </c>
      <c r="C24" s="256" t="n">
        <v>106</v>
      </c>
      <c r="D24" s="256" t="n">
        <v>145</v>
      </c>
      <c r="E24" s="256" t="n">
        <v>171</v>
      </c>
    </row>
    <row r="25">
      <c r="A25" s="255" t="n">
        <v>2040</v>
      </c>
      <c r="B25" s="256" t="n">
        <v>142</v>
      </c>
      <c r="C25" s="256" t="n">
        <v>103</v>
      </c>
      <c r="D25" s="256" t="n">
        <v>142</v>
      </c>
      <c r="E25" s="256" t="n">
        <v>169</v>
      </c>
    </row>
    <row r="26">
      <c r="A26" s="255" t="n">
        <v>2041</v>
      </c>
      <c r="B26" s="256" t="n">
        <v>139</v>
      </c>
      <c r="C26" s="256" t="n">
        <v>100</v>
      </c>
      <c r="D26" s="256" t="n">
        <v>139</v>
      </c>
      <c r="E26" s="256" t="n">
        <v>166</v>
      </c>
    </row>
    <row r="27">
      <c r="A27" s="255" t="n">
        <v>2042</v>
      </c>
      <c r="B27" s="256" t="n">
        <v>135</v>
      </c>
      <c r="C27" s="256" t="n">
        <v>97</v>
      </c>
      <c r="D27" s="256" t="n">
        <v>135</v>
      </c>
      <c r="E27" s="256" t="n">
        <v>165</v>
      </c>
    </row>
    <row r="28">
      <c r="A28" s="255" t="n">
        <v>2043</v>
      </c>
      <c r="B28" s="256" t="n">
        <v>133</v>
      </c>
      <c r="C28" s="256" t="n">
        <v>95</v>
      </c>
      <c r="D28" s="256" t="n">
        <v>133</v>
      </c>
      <c r="E28" s="256" t="n">
        <v>162</v>
      </c>
    </row>
    <row r="29">
      <c r="A29" s="255" t="n">
        <v>2044</v>
      </c>
      <c r="B29" s="256" t="n">
        <v>133</v>
      </c>
      <c r="C29" s="256" t="n">
        <v>94</v>
      </c>
      <c r="D29" s="256" t="n">
        <v>133</v>
      </c>
      <c r="E29" s="256" t="n">
        <v>164</v>
      </c>
    </row>
    <row r="30">
      <c r="A30" s="255" t="n">
        <v>2045</v>
      </c>
      <c r="B30" s="256" t="n">
        <v>134</v>
      </c>
      <c r="C30" s="256" t="n">
        <v>94</v>
      </c>
      <c r="D30" s="256" t="n">
        <v>134</v>
      </c>
      <c r="E30" s="256" t="n">
        <v>165</v>
      </c>
    </row>
    <row r="31">
      <c r="A31" s="255" t="n">
        <v>2046</v>
      </c>
      <c r="B31" s="256" t="n">
        <v>133</v>
      </c>
      <c r="C31" s="256" t="n">
        <v>93</v>
      </c>
      <c r="D31" s="256" t="n">
        <v>133</v>
      </c>
      <c r="E31" s="256" t="n">
        <v>167</v>
      </c>
    </row>
    <row r="32">
      <c r="A32" s="255" t="n">
        <v>2047</v>
      </c>
      <c r="B32" s="256" t="n">
        <v>133</v>
      </c>
      <c r="C32" s="256" t="n">
        <v>92</v>
      </c>
      <c r="D32" s="256" t="n">
        <v>133</v>
      </c>
      <c r="E32" s="256" t="n">
        <v>166</v>
      </c>
    </row>
    <row r="33">
      <c r="A33" s="255" t="n">
        <v>2048</v>
      </c>
      <c r="B33" s="256" t="n">
        <v>135</v>
      </c>
      <c r="C33" s="256" t="n">
        <v>93</v>
      </c>
      <c r="D33" s="256" t="n">
        <v>135</v>
      </c>
      <c r="E33" s="256" t="n">
        <v>168</v>
      </c>
    </row>
    <row r="34">
      <c r="A34" s="255" t="n">
        <v>2049</v>
      </c>
      <c r="B34" s="256" t="n">
        <v>134</v>
      </c>
      <c r="C34" s="256" t="n">
        <v>93</v>
      </c>
      <c r="D34" s="256" t="n">
        <v>134</v>
      </c>
      <c r="E34" s="256" t="n">
        <v>169</v>
      </c>
    </row>
    <row r="35">
      <c r="A35" s="255" t="n">
        <v>2050</v>
      </c>
      <c r="B35" s="256" t="n">
        <v>138</v>
      </c>
      <c r="C35" s="256" t="n">
        <v>95</v>
      </c>
      <c r="D35" s="256" t="n">
        <v>138</v>
      </c>
      <c r="E35" s="256" t="n">
        <v>172</v>
      </c>
    </row>
    <row r="36">
      <c r="A36" s="251" t="n"/>
    </row>
  </sheetData>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F10"/>
  <sheetViews>
    <sheetView workbookViewId="0">
      <selection activeCell="A1" sqref="A1"/>
    </sheetView>
  </sheetViews>
  <sheetFormatPr baseColWidth="8" defaultColWidth="12.63" defaultRowHeight="15.75" customHeight="1"/>
  <sheetData>
    <row r="1">
      <c r="A1" s="136" t="inlineStr">
        <is>
          <t>Data in https://docs.google.com/spreadsheets/d/1xjG6cSkeIY839OLXHg10fQ-mqQQ66oiDxlozq-F0rL4/edit?gid=732718702#gid=732718702</t>
        </is>
      </c>
    </row>
    <row r="3">
      <c r="B3" s="262" t="inlineStr">
        <is>
          <t>Non-weighted average (gCO2eq/kWh)</t>
        </is>
      </c>
      <c r="D3" s="262" t="n">
        <v>2022</v>
      </c>
      <c r="E3" s="262" t="n">
        <v>2023</v>
      </c>
      <c r="F3" s="262" t="n">
        <v>2024</v>
      </c>
    </row>
    <row r="4">
      <c r="A4" s="262" t="inlineStr">
        <is>
          <t>Peak</t>
        </is>
      </c>
      <c r="B4" s="257" t="n">
        <v>0.6666666666666666</v>
      </c>
      <c r="C4" s="257" t="n">
        <v>0.7916666666666666</v>
      </c>
      <c r="D4" s="262" t="n">
        <v>447.5</v>
      </c>
      <c r="E4" s="262" t="n">
        <v>439.51</v>
      </c>
      <c r="F4" s="262" t="n">
        <v>447.47</v>
      </c>
    </row>
    <row r="5">
      <c r="A5" s="262" t="inlineStr">
        <is>
          <t>Normal rate</t>
        </is>
      </c>
      <c r="B5" s="271" t="inlineStr">
        <is>
          <t>OTHER</t>
        </is>
      </c>
      <c r="D5" s="262" t="n">
        <v>424.74</v>
      </c>
      <c r="E5" s="262" t="n">
        <v>418.67</v>
      </c>
      <c r="F5" s="262" t="n">
        <v>419.88</v>
      </c>
    </row>
    <row r="6">
      <c r="A6" s="262" t="inlineStr">
        <is>
          <t>Off-peak nigth</t>
        </is>
      </c>
      <c r="B6" s="257" t="n">
        <v>0.1666666666666667</v>
      </c>
      <c r="C6" s="257" t="n">
        <v>0.2916666666666667</v>
      </c>
      <c r="D6" s="262" t="n">
        <v>417.76</v>
      </c>
      <c r="E6" s="262" t="n">
        <v>407.17</v>
      </c>
      <c r="F6" s="262" t="n">
        <v>405.51</v>
      </c>
    </row>
    <row r="7">
      <c r="A7" s="262" t="inlineStr">
        <is>
          <t>Off-peak afternoon</t>
        </is>
      </c>
      <c r="B7" s="257" t="n">
        <v>0.5416666666666666</v>
      </c>
      <c r="C7" s="257" t="n">
        <v>0.6666666666666666</v>
      </c>
      <c r="D7" s="262" t="n">
        <v>432.85</v>
      </c>
      <c r="E7" s="262" t="n">
        <v>423.8</v>
      </c>
      <c r="F7" s="262" t="n">
        <v>424.02</v>
      </c>
    </row>
    <row r="8">
      <c r="B8" s="257" t="n"/>
      <c r="C8" s="257" t="n"/>
    </row>
    <row r="9">
      <c r="B9" s="257" t="n"/>
      <c r="C9" s="257" t="n"/>
    </row>
    <row r="10">
      <c r="B10" s="257" t="n"/>
      <c r="C10" s="257" t="n"/>
    </row>
  </sheetData>
  <mergeCells count="1">
    <mergeCell ref="B5:C5"/>
  </mergeCells>
  <hyperlinks>
    <hyperlink xmlns:r="http://schemas.openxmlformats.org/officeDocument/2006/relationships" ref="A1" location="gid=732718702" r:id="rId1"/>
  </hyperlink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I52"/>
  <sheetViews>
    <sheetView workbookViewId="0">
      <selection activeCell="A1" sqref="A1"/>
    </sheetView>
  </sheetViews>
  <sheetFormatPr baseColWidth="8" defaultColWidth="12.63" defaultRowHeight="15.75" customHeight="1"/>
  <cols>
    <col width="28.13" customWidth="1" style="284" min="6" max="6"/>
  </cols>
  <sheetData>
    <row r="1">
      <c r="A1" s="262" t="inlineStr">
        <is>
          <t>Source: LCPEnact</t>
        </is>
      </c>
      <c r="F1" s="273" t="n"/>
      <c r="G1" s="274" t="n"/>
      <c r="H1" s="274" t="n"/>
      <c r="I1" s="276" t="n"/>
    </row>
    <row r="2">
      <c r="F2" s="273" t="n"/>
      <c r="G2" s="274" t="n"/>
      <c r="H2" s="274" t="n"/>
      <c r="I2" s="276" t="n"/>
    </row>
    <row r="3">
      <c r="F3" s="273" t="n"/>
      <c r="G3" s="274" t="n"/>
      <c r="H3" s="274" t="n"/>
      <c r="I3" s="276" t="n"/>
    </row>
    <row r="4">
      <c r="A4" s="262" t="inlineStr">
        <is>
          <t>Settlement</t>
        </is>
      </c>
      <c r="B4" s="262" t="n">
        <v>2022</v>
      </c>
      <c r="C4" s="262" t="n">
        <v>2023</v>
      </c>
      <c r="D4" s="262" t="inlineStr">
        <is>
          <t>Jan-Jun 15th 2024</t>
        </is>
      </c>
      <c r="F4" s="273" t="n"/>
      <c r="G4" s="274">
        <f>B4</f>
        <v/>
      </c>
      <c r="H4" s="274">
        <f>C4</f>
        <v/>
      </c>
      <c r="I4" s="276" t="n">
        <v>2024</v>
      </c>
    </row>
    <row r="5">
      <c r="A5" s="262" t="n">
        <v>1</v>
      </c>
      <c r="B5" s="262" t="n">
        <v>169.2504657534247</v>
      </c>
      <c r="C5" s="262" t="n">
        <v>82.04830136986298</v>
      </c>
      <c r="D5" s="262" t="n">
        <v>56.54077844311378</v>
      </c>
      <c r="E5" s="262" t="n">
        <v>12</v>
      </c>
      <c r="F5" s="276" t="inlineStr">
        <is>
          <t>Overnight cosy 4am to 7am</t>
        </is>
      </c>
      <c r="G5" s="277">
        <f>average(B13:B18)</f>
        <v/>
      </c>
      <c r="H5" s="277">
        <f>average(C13:C18)</f>
        <v/>
      </c>
      <c r="I5" s="277">
        <f>average(D13:D18)</f>
        <v/>
      </c>
    </row>
    <row r="6">
      <c r="A6" s="262" t="n">
        <v>2</v>
      </c>
      <c r="B6" s="262" t="n">
        <v>177.9987362637363</v>
      </c>
      <c r="C6" s="262" t="n">
        <v>84.93162087912081</v>
      </c>
      <c r="D6" s="262" t="n">
        <v>58.67572289156632</v>
      </c>
      <c r="E6" s="262" t="n">
        <v>12</v>
      </c>
      <c r="F6" s="276" t="inlineStr">
        <is>
          <t>Day cosy 1pm to 4pm</t>
        </is>
      </c>
      <c r="G6" s="277">
        <f>average(B31:B36)</f>
        <v/>
      </c>
      <c r="H6" s="277">
        <f>average(C31:C36)</f>
        <v/>
      </c>
      <c r="I6" s="277">
        <f>average(D31:D36)</f>
        <v/>
      </c>
    </row>
    <row r="7">
      <c r="A7" s="262" t="n">
        <v>3</v>
      </c>
      <c r="B7" s="262" t="n">
        <v>174.3643406593407</v>
      </c>
      <c r="C7" s="262" t="n">
        <v>80.79846153846158</v>
      </c>
      <c r="D7" s="262" t="n">
        <v>55.21248484848486</v>
      </c>
      <c r="E7" s="262" t="n">
        <v>1</v>
      </c>
      <c r="F7" s="276" t="inlineStr">
        <is>
          <t>Peak</t>
        </is>
      </c>
      <c r="G7" s="277">
        <f>AVERAGE(B37:B42)</f>
        <v/>
      </c>
      <c r="H7" s="277">
        <f>AVERAGE(C37:C42)</f>
        <v/>
      </c>
      <c r="I7" s="277">
        <f>AVERAGE(D37:D42)</f>
        <v/>
      </c>
    </row>
    <row r="8">
      <c r="A8" s="262" t="n">
        <v>4</v>
      </c>
      <c r="B8" s="262" t="n">
        <v>166.2788736263736</v>
      </c>
      <c r="C8" s="262" t="n">
        <v>76.95645604395604</v>
      </c>
      <c r="D8" s="262" t="n">
        <v>50.75424242424244</v>
      </c>
      <c r="E8" s="262" t="n">
        <v>1</v>
      </c>
      <c r="F8" s="276" t="inlineStr">
        <is>
          <t>Other</t>
        </is>
      </c>
      <c r="G8" s="277">
        <f>average(B5:B12,B19:B30,B43:B52)</f>
        <v/>
      </c>
      <c r="H8" s="277">
        <f>average(C5:C12,C19:C30,C43:C52)</f>
        <v/>
      </c>
      <c r="I8" s="277">
        <f>average(D5:D12,D19:D30,D43:D52)</f>
        <v/>
      </c>
    </row>
    <row r="9">
      <c r="A9" s="262" t="n">
        <v>5</v>
      </c>
      <c r="B9" s="262" t="n">
        <v>165.8446703296703</v>
      </c>
      <c r="C9" s="262" t="n">
        <v>76.36123626373622</v>
      </c>
      <c r="D9" s="262" t="n">
        <v>48.45210843373494</v>
      </c>
      <c r="E9" s="262" t="n">
        <v>2</v>
      </c>
    </row>
    <row r="10">
      <c r="A10" s="262" t="n">
        <v>6</v>
      </c>
      <c r="B10" s="262" t="n">
        <v>156.5024175824174</v>
      </c>
      <c r="C10" s="262" t="n">
        <v>72.23439560439563</v>
      </c>
      <c r="D10" s="262" t="n">
        <v>48.61632530120482</v>
      </c>
      <c r="E10" s="262" t="n">
        <v>2</v>
      </c>
    </row>
    <row r="11">
      <c r="A11" s="262" t="n">
        <v>7</v>
      </c>
      <c r="B11" s="262" t="n">
        <v>162.7931593406594</v>
      </c>
      <c r="C11" s="262" t="n">
        <v>73.65145604395605</v>
      </c>
      <c r="D11" s="262" t="n">
        <v>50.29385542168675</v>
      </c>
      <c r="E11" s="262" t="n">
        <v>3</v>
      </c>
    </row>
    <row r="12">
      <c r="A12" s="262" t="n">
        <v>8</v>
      </c>
      <c r="B12" s="262" t="n">
        <v>150.739945054945</v>
      </c>
      <c r="C12" s="262" t="n">
        <v>69.56467032967032</v>
      </c>
      <c r="D12" s="262" t="n">
        <v>49.35861445783133</v>
      </c>
      <c r="E12" s="262" t="n">
        <v>3</v>
      </c>
    </row>
    <row r="13">
      <c r="A13" s="262" t="n">
        <v>9</v>
      </c>
      <c r="B13" s="262" t="n">
        <v>162.5655494505494</v>
      </c>
      <c r="C13" s="262" t="n">
        <v>73.39063535911595</v>
      </c>
      <c r="D13" s="262" t="n">
        <v>52.50481927710843</v>
      </c>
      <c r="E13" s="262" t="n">
        <v>4</v>
      </c>
    </row>
    <row r="14">
      <c r="A14" s="262" t="n">
        <v>10</v>
      </c>
      <c r="B14" s="262" t="n">
        <v>156.8592286501378</v>
      </c>
      <c r="C14" s="262" t="n">
        <v>68.53803867403307</v>
      </c>
      <c r="D14" s="262" t="n">
        <v>47.22710843373495</v>
      </c>
      <c r="E14" s="262" t="n">
        <v>4</v>
      </c>
    </row>
    <row r="15">
      <c r="A15" s="262" t="n">
        <v>11</v>
      </c>
      <c r="B15" s="262" t="n">
        <v>164.0607692307693</v>
      </c>
      <c r="C15" s="262" t="n">
        <v>77.30876033057849</v>
      </c>
      <c r="D15" s="262" t="n">
        <v>53.44963855421688</v>
      </c>
      <c r="E15" s="262" t="n">
        <v>5</v>
      </c>
    </row>
    <row r="16">
      <c r="A16" s="262" t="n">
        <v>12</v>
      </c>
      <c r="B16" s="262" t="n">
        <v>168.9293681318682</v>
      </c>
      <c r="C16" s="262" t="n">
        <v>80.83928571428572</v>
      </c>
      <c r="D16" s="262" t="n">
        <v>51.86301204819279</v>
      </c>
      <c r="E16" s="262" t="n">
        <v>5</v>
      </c>
    </row>
    <row r="17">
      <c r="A17" s="262" t="n">
        <v>13</v>
      </c>
      <c r="B17" s="262" t="n">
        <v>189.7037637362637</v>
      </c>
      <c r="C17" s="262" t="n">
        <v>89.63244505494511</v>
      </c>
      <c r="D17" s="262" t="n">
        <v>57.96403614457834</v>
      </c>
      <c r="E17" s="262" t="n">
        <v>6</v>
      </c>
    </row>
    <row r="18">
      <c r="A18" s="262" t="n">
        <v>14</v>
      </c>
      <c r="B18" s="262" t="n">
        <v>208.0917582417583</v>
      </c>
      <c r="C18" s="262" t="n">
        <v>100.0686813186814</v>
      </c>
      <c r="D18" s="262" t="n">
        <v>67.27289156626507</v>
      </c>
      <c r="E18" s="262" t="n">
        <v>6</v>
      </c>
    </row>
    <row r="19">
      <c r="A19" s="262" t="n">
        <v>15</v>
      </c>
      <c r="B19" s="262" t="n">
        <v>202.9104670329669</v>
      </c>
      <c r="C19" s="262" t="n">
        <v>94.92750000000002</v>
      </c>
      <c r="D19" s="262" t="n">
        <v>66.80144578313252</v>
      </c>
      <c r="E19" s="262" t="n">
        <v>7</v>
      </c>
    </row>
    <row r="20">
      <c r="A20" s="262" t="n">
        <v>16</v>
      </c>
      <c r="B20" s="262" t="n">
        <v>237.2678296703295</v>
      </c>
      <c r="C20" s="262" t="n">
        <v>113.9993956043956</v>
      </c>
      <c r="D20" s="262" t="n">
        <v>75.22030120481926</v>
      </c>
      <c r="E20" s="262" t="n">
        <v>7</v>
      </c>
    </row>
    <row r="21">
      <c r="A21" s="262" t="n">
        <v>17</v>
      </c>
      <c r="B21" s="262" t="n">
        <v>215.6216758241758</v>
      </c>
      <c r="C21" s="262" t="n">
        <v>100.9458791208791</v>
      </c>
      <c r="D21" s="262" t="n">
        <v>66.60879518072292</v>
      </c>
      <c r="E21" s="262" t="n">
        <v>8</v>
      </c>
    </row>
    <row r="22">
      <c r="A22" s="262" t="n">
        <v>18</v>
      </c>
      <c r="B22" s="262" t="n">
        <v>233.3898901098901</v>
      </c>
      <c r="C22" s="262" t="n">
        <v>107.7087362637362</v>
      </c>
      <c r="D22" s="262" t="n">
        <v>70.69156626506023</v>
      </c>
      <c r="E22" s="262" t="n">
        <v>8</v>
      </c>
    </row>
    <row r="23">
      <c r="A23" s="262" t="n">
        <v>19</v>
      </c>
      <c r="B23" s="262" t="n">
        <v>223.7941483516483</v>
      </c>
      <c r="C23" s="262" t="n">
        <v>104.236510989011</v>
      </c>
      <c r="D23" s="262" t="n">
        <v>69.7406626506024</v>
      </c>
      <c r="E23" s="262" t="n">
        <v>9</v>
      </c>
    </row>
    <row r="24">
      <c r="A24" s="262" t="n">
        <v>20</v>
      </c>
      <c r="B24" s="262" t="n">
        <v>214.5383791208792</v>
      </c>
      <c r="C24" s="262" t="n">
        <v>97.7118681318681</v>
      </c>
      <c r="D24" s="262" t="n">
        <v>67.93421686746991</v>
      </c>
      <c r="E24" s="262" t="n">
        <v>9</v>
      </c>
    </row>
    <row r="25">
      <c r="A25" s="262" t="n">
        <v>21</v>
      </c>
      <c r="B25" s="262" t="n">
        <v>209.9075274725274</v>
      </c>
      <c r="C25" s="262" t="n">
        <v>95.87601648351645</v>
      </c>
      <c r="D25" s="262" t="n">
        <v>66.83638554216867</v>
      </c>
      <c r="E25" s="262" t="n">
        <v>10</v>
      </c>
    </row>
    <row r="26">
      <c r="A26" s="262" t="n">
        <v>22</v>
      </c>
      <c r="B26" s="262" t="n">
        <v>200.8723901098901</v>
      </c>
      <c r="C26" s="262" t="n">
        <v>93.76925824175821</v>
      </c>
      <c r="D26" s="262" t="n">
        <v>64.9256626506024</v>
      </c>
      <c r="E26" s="262" t="n">
        <v>10</v>
      </c>
    </row>
    <row r="27">
      <c r="A27" s="262" t="n">
        <v>23</v>
      </c>
      <c r="B27" s="262" t="n">
        <v>195.324065934066</v>
      </c>
      <c r="C27" s="262" t="n">
        <v>94.18255494505493</v>
      </c>
      <c r="D27" s="262" t="n">
        <v>61.52921686746987</v>
      </c>
      <c r="E27" s="262" t="n">
        <v>11</v>
      </c>
    </row>
    <row r="28">
      <c r="A28" s="262" t="n">
        <v>24</v>
      </c>
      <c r="B28" s="262" t="n">
        <v>189.1673901098901</v>
      </c>
      <c r="C28" s="262" t="n">
        <v>92.09802197802196</v>
      </c>
      <c r="D28" s="262" t="n">
        <v>59.23253012048193</v>
      </c>
      <c r="E28" s="262" t="n">
        <v>11</v>
      </c>
    </row>
    <row r="29">
      <c r="A29" s="262" t="n">
        <v>25</v>
      </c>
      <c r="B29" s="262" t="n">
        <v>193.6366208791209</v>
      </c>
      <c r="C29" s="262" t="n">
        <v>93.38637362637367</v>
      </c>
      <c r="D29" s="262" t="n">
        <v>61.29951807228917</v>
      </c>
      <c r="E29" s="262" t="n">
        <v>12</v>
      </c>
    </row>
    <row r="30">
      <c r="A30" s="262" t="n">
        <v>26</v>
      </c>
      <c r="B30" s="262" t="n">
        <v>198.575054945055</v>
      </c>
      <c r="C30" s="262" t="n">
        <v>89.23277472527474</v>
      </c>
      <c r="D30" s="262" t="n">
        <v>57.7693373493976</v>
      </c>
      <c r="E30" s="262" t="n">
        <v>12</v>
      </c>
    </row>
    <row r="31">
      <c r="A31" s="262" t="n">
        <v>27</v>
      </c>
      <c r="B31" s="262" t="n">
        <v>207.3645604395605</v>
      </c>
      <c r="C31" s="262" t="n">
        <v>87.97585164835166</v>
      </c>
      <c r="D31" s="262" t="n">
        <v>59.75939759036144</v>
      </c>
      <c r="E31" s="262" t="n">
        <v>13</v>
      </c>
    </row>
    <row r="32">
      <c r="A32" s="262" t="n">
        <v>28</v>
      </c>
      <c r="B32" s="262" t="n">
        <v>187.0397252747253</v>
      </c>
      <c r="C32" s="262" t="n">
        <v>82.6660714285715</v>
      </c>
      <c r="D32" s="262" t="n">
        <v>54.23415662650602</v>
      </c>
      <c r="E32" s="262" t="n">
        <v>13</v>
      </c>
    </row>
    <row r="33">
      <c r="A33" s="262" t="n">
        <v>29</v>
      </c>
      <c r="B33" s="262" t="n">
        <v>197.4985989010989</v>
      </c>
      <c r="C33" s="262" t="n">
        <v>84.66412087912089</v>
      </c>
      <c r="D33" s="262" t="n">
        <v>54.96777108433734</v>
      </c>
      <c r="E33" s="262" t="n">
        <v>14</v>
      </c>
    </row>
    <row r="34">
      <c r="A34" s="262" t="n">
        <v>30</v>
      </c>
      <c r="B34" s="262" t="n">
        <v>180.9538461538461</v>
      </c>
      <c r="C34" s="262" t="n">
        <v>84.77464285714279</v>
      </c>
      <c r="D34" s="262" t="n">
        <v>54.34006024096383</v>
      </c>
      <c r="E34" s="262" t="n">
        <v>14</v>
      </c>
    </row>
    <row r="35">
      <c r="A35" s="262" t="n">
        <v>31</v>
      </c>
      <c r="B35" s="262" t="n">
        <v>183.6802203856749</v>
      </c>
      <c r="C35" s="262" t="n">
        <v>86.87901098901099</v>
      </c>
      <c r="D35" s="262" t="n">
        <v>56.52614457831324</v>
      </c>
      <c r="E35" s="262" t="n">
        <v>15</v>
      </c>
    </row>
    <row r="36">
      <c r="A36" s="262" t="n">
        <v>32</v>
      </c>
      <c r="B36" s="262" t="n">
        <v>204.1905219780219</v>
      </c>
      <c r="C36" s="262" t="n">
        <v>94.72335164835171</v>
      </c>
      <c r="D36" s="262" t="n">
        <v>60.87620481927712</v>
      </c>
      <c r="E36" s="262" t="n">
        <v>15</v>
      </c>
    </row>
    <row r="37">
      <c r="A37" s="262" t="n">
        <v>33</v>
      </c>
      <c r="B37" s="262" t="n">
        <v>207.9767307692307</v>
      </c>
      <c r="C37" s="262" t="n">
        <v>97.59486263736254</v>
      </c>
      <c r="D37" s="262" t="n">
        <v>64.64903614457832</v>
      </c>
      <c r="E37" s="262" t="n">
        <v>16</v>
      </c>
    </row>
    <row r="38">
      <c r="A38" s="262" t="n">
        <v>34</v>
      </c>
      <c r="B38" s="262" t="n">
        <v>241.6846428571429</v>
      </c>
      <c r="C38" s="262" t="n">
        <v>107.5460989010989</v>
      </c>
      <c r="D38" s="262" t="n">
        <v>70.36759036144575</v>
      </c>
      <c r="E38" s="262" t="n">
        <v>16</v>
      </c>
    </row>
    <row r="39">
      <c r="A39" s="262" t="n">
        <v>35</v>
      </c>
      <c r="B39" s="262" t="n">
        <v>248.7661263736264</v>
      </c>
      <c r="C39" s="262" t="n">
        <v>110.9070604395605</v>
      </c>
      <c r="D39" s="262" t="n">
        <v>75.20957831325303</v>
      </c>
      <c r="E39" s="262" t="n">
        <v>17</v>
      </c>
    </row>
    <row r="40">
      <c r="A40" s="262" t="n">
        <v>36</v>
      </c>
      <c r="B40" s="262" t="n">
        <v>248.3194780219779</v>
      </c>
      <c r="C40" s="262" t="n">
        <v>117.9163461538461</v>
      </c>
      <c r="D40" s="262" t="n">
        <v>83.35060240963858</v>
      </c>
      <c r="E40" s="262" t="n">
        <v>17</v>
      </c>
    </row>
    <row r="41">
      <c r="A41" s="262" t="n">
        <v>37</v>
      </c>
      <c r="B41" s="262" t="n">
        <v>260.1707692307693</v>
      </c>
      <c r="C41" s="262" t="n">
        <v>129.1235989010989</v>
      </c>
      <c r="D41" s="262" t="n">
        <v>83.98572289156627</v>
      </c>
      <c r="E41" s="262" t="n">
        <v>18</v>
      </c>
    </row>
    <row r="42">
      <c r="A42" s="262" t="n">
        <v>38</v>
      </c>
      <c r="B42" s="262" t="n">
        <v>246.0253296703297</v>
      </c>
      <c r="C42" s="262" t="n">
        <v>127.0427747252748</v>
      </c>
      <c r="D42" s="262" t="n">
        <v>83.16228915662651</v>
      </c>
      <c r="E42" s="262" t="n">
        <v>18</v>
      </c>
    </row>
    <row r="43">
      <c r="A43" s="262" t="n">
        <v>39</v>
      </c>
      <c r="B43" s="262" t="n">
        <v>251.5819505494507</v>
      </c>
      <c r="C43" s="262" t="n">
        <v>126.9166483516484</v>
      </c>
      <c r="D43" s="262" t="n">
        <v>85.37174698795182</v>
      </c>
      <c r="E43" s="262" t="n">
        <v>19</v>
      </c>
    </row>
    <row r="44">
      <c r="A44" s="262" t="n">
        <v>40</v>
      </c>
      <c r="B44" s="262" t="n">
        <v>230.2683791208792</v>
      </c>
      <c r="C44" s="262" t="n">
        <v>118.7990384615386</v>
      </c>
      <c r="D44" s="262" t="n">
        <v>81.57807228915662</v>
      </c>
      <c r="E44" s="262" t="n">
        <v>19</v>
      </c>
    </row>
    <row r="45">
      <c r="A45" s="262" t="n">
        <v>41</v>
      </c>
      <c r="B45" s="262" t="n">
        <v>235.9731593406593</v>
      </c>
      <c r="C45" s="262" t="n">
        <v>120.7239560439561</v>
      </c>
      <c r="D45" s="262" t="n">
        <v>79.17843373493974</v>
      </c>
      <c r="E45" s="262" t="n">
        <v>20</v>
      </c>
    </row>
    <row r="46">
      <c r="A46" s="262" t="n">
        <v>42</v>
      </c>
      <c r="B46" s="262" t="n">
        <v>204.9515384615386</v>
      </c>
      <c r="C46" s="262" t="n">
        <v>109.8533057851239</v>
      </c>
      <c r="D46" s="262" t="n">
        <v>73.10560240963855</v>
      </c>
      <c r="E46" s="262" t="n">
        <v>20</v>
      </c>
    </row>
    <row r="47">
      <c r="A47" s="262" t="n">
        <v>43</v>
      </c>
      <c r="B47" s="262" t="n">
        <v>232.594435261708</v>
      </c>
      <c r="C47" s="262" t="n">
        <v>116.2859340659341</v>
      </c>
      <c r="D47" s="262" t="n">
        <v>74.70367469879515</v>
      </c>
      <c r="E47" s="262" t="n">
        <v>21</v>
      </c>
    </row>
    <row r="48">
      <c r="A48" s="262" t="n">
        <v>44</v>
      </c>
      <c r="B48" s="262" t="n">
        <v>198.1082644628099</v>
      </c>
      <c r="C48" s="262" t="n">
        <v>98.52730769230766</v>
      </c>
      <c r="D48" s="262" t="n">
        <v>65.77975903614458</v>
      </c>
      <c r="E48" s="262" t="n">
        <v>21</v>
      </c>
    </row>
    <row r="49">
      <c r="A49" s="262" t="n">
        <v>45</v>
      </c>
      <c r="B49" s="262" t="n">
        <v>199.7907967032968</v>
      </c>
      <c r="C49" s="262" t="n">
        <v>101.0679945054945</v>
      </c>
      <c r="D49" s="262" t="n">
        <v>65.52969879518071</v>
      </c>
      <c r="E49" s="262" t="n">
        <v>22</v>
      </c>
    </row>
    <row r="50">
      <c r="A50" s="262" t="n">
        <v>46</v>
      </c>
      <c r="B50" s="262" t="n">
        <v>178.8878021978021</v>
      </c>
      <c r="C50" s="262" t="n">
        <v>83.67574175824171</v>
      </c>
      <c r="D50" s="262" t="n">
        <v>55.99963855421689</v>
      </c>
      <c r="E50" s="262" t="n">
        <v>22</v>
      </c>
    </row>
    <row r="51">
      <c r="A51" s="262" t="n">
        <v>47</v>
      </c>
      <c r="B51" s="262" t="n">
        <v>194.8416758241758</v>
      </c>
      <c r="C51" s="262" t="n">
        <v>92.17870879120888</v>
      </c>
      <c r="D51" s="262" t="n">
        <v>64.08650602409638</v>
      </c>
      <c r="E51" s="262" t="n">
        <v>23</v>
      </c>
    </row>
    <row r="52">
      <c r="A52" s="262" t="n">
        <v>48</v>
      </c>
      <c r="B52" s="262" t="n">
        <v>180.9678857142857</v>
      </c>
      <c r="C52" s="262" t="n">
        <v>81.752782369146</v>
      </c>
      <c r="D52" s="262" t="n">
        <v>59.45885542168675</v>
      </c>
      <c r="E52" s="262" t="n">
        <v>23</v>
      </c>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F58"/>
  <sheetViews>
    <sheetView workbookViewId="0">
      <selection activeCell="A1" sqref="A1"/>
    </sheetView>
  </sheetViews>
  <sheetFormatPr baseColWidth="8" defaultColWidth="12.63" defaultRowHeight="15.75" customHeight="1"/>
  <sheetData>
    <row r="1">
      <c r="A1" s="136" t="inlineStr">
        <is>
          <t>Source: https://datadashboard.mcscertified.com/InstallationInsights</t>
        </is>
      </c>
    </row>
    <row r="3">
      <c r="A3" s="172" t="inlineStr">
        <is>
          <t>Month</t>
        </is>
      </c>
      <c r="B3" s="172" t="inlineStr">
        <is>
          <t>Average installation cost per kW (£)</t>
        </is>
      </c>
      <c r="C3" s="172" t="inlineStr">
        <is>
          <t>Average installation cost (£)</t>
        </is>
      </c>
      <c r="D3" s="278" t="n"/>
    </row>
    <row r="4">
      <c r="A4" s="279" t="n">
        <v>45311</v>
      </c>
      <c r="B4" s="280" t="n">
        <v>1146</v>
      </c>
      <c r="C4" s="280" t="n">
        <v>10661</v>
      </c>
      <c r="D4" s="281" t="n"/>
    </row>
    <row r="5">
      <c r="A5" s="279" t="n">
        <v>45342</v>
      </c>
      <c r="B5" s="280" t="n">
        <v>1130</v>
      </c>
      <c r="C5" s="280" t="n">
        <v>10914</v>
      </c>
      <c r="D5" s="281" t="n"/>
    </row>
    <row r="6">
      <c r="A6" s="279" t="n">
        <v>45371</v>
      </c>
      <c r="B6" s="280" t="n">
        <v>1135</v>
      </c>
      <c r="C6" s="280" t="n">
        <v>11370</v>
      </c>
      <c r="D6" s="281" t="n"/>
    </row>
    <row r="7">
      <c r="A7" s="279" t="n">
        <v>45402</v>
      </c>
      <c r="B7" s="280" t="n">
        <v>1152</v>
      </c>
      <c r="C7" s="280" t="n">
        <v>11636</v>
      </c>
      <c r="D7" s="281" t="n"/>
    </row>
    <row r="8">
      <c r="A8" s="282" t="n">
        <v>45432</v>
      </c>
      <c r="B8" s="280" t="n">
        <v>1111</v>
      </c>
      <c r="C8" s="280" t="n">
        <v>11590</v>
      </c>
      <c r="D8" s="281" t="n"/>
    </row>
    <row r="9">
      <c r="A9" s="279" t="n">
        <v>45463</v>
      </c>
      <c r="B9" s="280" t="n">
        <v>1082</v>
      </c>
      <c r="C9" s="280" t="n">
        <v>11183</v>
      </c>
      <c r="D9" s="281" t="n"/>
    </row>
    <row r="10">
      <c r="A10" s="279" t="n">
        <v>45493</v>
      </c>
      <c r="B10" s="280" t="n">
        <v>1111</v>
      </c>
      <c r="C10" s="280" t="n">
        <v>11279</v>
      </c>
      <c r="D10" s="281" t="n"/>
    </row>
    <row r="11">
      <c r="A11" s="279" t="n">
        <v>45524</v>
      </c>
      <c r="B11" s="280" t="n">
        <v>1156</v>
      </c>
      <c r="C11" s="280" t="n">
        <v>11744</v>
      </c>
      <c r="D11" s="281" t="n"/>
    </row>
    <row r="12">
      <c r="A12" s="279" t="n">
        <v>45555</v>
      </c>
      <c r="B12" s="280" t="n">
        <v>1137</v>
      </c>
      <c r="C12" s="280" t="n">
        <v>11437</v>
      </c>
      <c r="D12" s="281" t="n"/>
    </row>
    <row r="13">
      <c r="A13" s="279" t="n">
        <v>45585</v>
      </c>
      <c r="B13" s="280" t="n">
        <v>1145</v>
      </c>
      <c r="C13" s="280" t="n">
        <v>11171</v>
      </c>
      <c r="D13" s="281" t="n"/>
    </row>
    <row r="14">
      <c r="A14" s="279" t="n">
        <v>45616</v>
      </c>
      <c r="B14" s="280" t="n">
        <v>1172</v>
      </c>
      <c r="C14" s="280" t="n">
        <v>10984</v>
      </c>
      <c r="D14" s="281" t="n"/>
    </row>
    <row r="15">
      <c r="A15" s="279" t="n">
        <v>45646</v>
      </c>
      <c r="B15" s="280" t="n">
        <v>1184</v>
      </c>
      <c r="C15" s="280" t="n">
        <v>11709</v>
      </c>
      <c r="D15" s="281" t="n"/>
    </row>
    <row r="16">
      <c r="A16" s="279" t="n">
        <v>45312</v>
      </c>
      <c r="B16" s="280" t="n">
        <v>1163</v>
      </c>
      <c r="C16" s="280" t="n">
        <v>11098</v>
      </c>
      <c r="D16" s="281" t="n"/>
    </row>
    <row r="17">
      <c r="A17" s="279" t="n">
        <v>45343</v>
      </c>
      <c r="B17" s="280" t="n">
        <v>1175</v>
      </c>
      <c r="C17" s="280" t="n">
        <v>11388</v>
      </c>
      <c r="D17" s="281" t="n"/>
    </row>
    <row r="18">
      <c r="A18" s="279" t="n">
        <v>45372</v>
      </c>
      <c r="B18" s="280" t="n">
        <v>1195</v>
      </c>
      <c r="C18" s="280" t="n">
        <v>11716</v>
      </c>
      <c r="D18" s="281" t="n"/>
    </row>
    <row r="19">
      <c r="A19" s="279" t="n">
        <v>45403</v>
      </c>
      <c r="B19" s="280" t="n">
        <v>1220</v>
      </c>
      <c r="C19" s="280" t="n">
        <v>11393</v>
      </c>
      <c r="D19" s="281" t="n"/>
    </row>
    <row r="20">
      <c r="A20" s="282" t="n">
        <v>45433</v>
      </c>
      <c r="B20" s="280" t="n">
        <v>1243</v>
      </c>
      <c r="C20" s="280" t="n">
        <v>11563</v>
      </c>
      <c r="D20" s="281" t="n"/>
    </row>
    <row r="21">
      <c r="A21" s="279" t="n">
        <v>45464</v>
      </c>
      <c r="B21" s="280" t="n">
        <v>1237</v>
      </c>
      <c r="C21" s="280" t="n">
        <v>11693</v>
      </c>
      <c r="D21" s="281" t="n"/>
    </row>
    <row r="22">
      <c r="A22" s="279" t="n">
        <v>45494</v>
      </c>
      <c r="B22" s="280" t="n">
        <v>1244</v>
      </c>
      <c r="C22" s="280" t="n">
        <v>11926</v>
      </c>
      <c r="D22" s="281" t="n"/>
    </row>
    <row r="23">
      <c r="A23" s="279" t="n">
        <v>45525</v>
      </c>
      <c r="B23" s="280" t="n">
        <v>1234</v>
      </c>
      <c r="C23" s="280" t="n">
        <v>11763</v>
      </c>
      <c r="D23" s="281" t="n"/>
    </row>
    <row r="24">
      <c r="A24" s="279" t="n">
        <v>45556</v>
      </c>
      <c r="B24" s="280" t="n">
        <v>1261</v>
      </c>
      <c r="C24" s="280" t="n">
        <v>11769</v>
      </c>
      <c r="D24" s="281" t="n"/>
    </row>
    <row r="25">
      <c r="A25" s="279" t="n">
        <v>45586</v>
      </c>
      <c r="B25" s="280" t="n">
        <v>1254</v>
      </c>
      <c r="C25" s="280" t="n">
        <v>12155</v>
      </c>
      <c r="D25" s="281" t="n"/>
    </row>
    <row r="26">
      <c r="A26" s="279" t="n">
        <v>45617</v>
      </c>
      <c r="B26" s="280" t="n">
        <v>1222</v>
      </c>
      <c r="C26" s="280" t="n">
        <v>11946</v>
      </c>
      <c r="D26" s="281" t="n"/>
    </row>
    <row r="27">
      <c r="A27" s="279" t="n">
        <v>45647</v>
      </c>
      <c r="B27" s="280" t="n">
        <v>1243</v>
      </c>
      <c r="C27" s="280" t="n">
        <v>12322</v>
      </c>
      <c r="D27" s="281" t="n"/>
    </row>
    <row r="28">
      <c r="A28" s="279" t="n">
        <v>45313</v>
      </c>
      <c r="B28" s="280" t="n">
        <v>1216</v>
      </c>
      <c r="C28" s="280" t="n">
        <v>12188</v>
      </c>
      <c r="D28" s="281" t="n"/>
    </row>
    <row r="29">
      <c r="A29" s="279" t="n">
        <v>45344</v>
      </c>
      <c r="B29" s="280" t="n">
        <v>1223</v>
      </c>
      <c r="C29" s="280" t="n">
        <v>12623</v>
      </c>
      <c r="D29" s="281" t="n"/>
    </row>
    <row r="30">
      <c r="A30" s="279" t="n">
        <v>45373</v>
      </c>
      <c r="B30" s="280" t="n">
        <v>1172</v>
      </c>
      <c r="C30" s="280" t="n">
        <v>13042</v>
      </c>
      <c r="D30" s="281" t="n"/>
    </row>
    <row r="31">
      <c r="A31" s="279" t="n">
        <v>45404</v>
      </c>
      <c r="B31" s="280" t="n">
        <v>1467</v>
      </c>
      <c r="C31" s="280" t="n">
        <v>10774</v>
      </c>
      <c r="D31" s="281" t="n"/>
    </row>
    <row r="32">
      <c r="A32" s="282" t="n">
        <v>45434</v>
      </c>
      <c r="B32" s="280" t="n">
        <v>1401</v>
      </c>
      <c r="C32" s="280" t="n">
        <v>11304</v>
      </c>
      <c r="D32" s="281" t="n"/>
    </row>
    <row r="33">
      <c r="A33" s="279" t="n">
        <v>45465</v>
      </c>
      <c r="B33" s="280" t="n">
        <v>1419</v>
      </c>
      <c r="C33" s="280" t="n">
        <v>11998</v>
      </c>
      <c r="D33" s="281" t="n"/>
    </row>
    <row r="34">
      <c r="A34" s="279" t="n">
        <v>45495</v>
      </c>
      <c r="B34" s="280" t="n">
        <v>1360</v>
      </c>
      <c r="C34" s="280" t="n">
        <v>12044</v>
      </c>
      <c r="D34" s="281" t="n"/>
    </row>
    <row r="35">
      <c r="A35" s="279" t="n">
        <v>45526</v>
      </c>
      <c r="B35" s="280" t="n">
        <v>1339</v>
      </c>
      <c r="C35" s="280" t="n">
        <v>12081</v>
      </c>
      <c r="D35" s="281" t="n"/>
    </row>
    <row r="36">
      <c r="A36" s="279" t="n">
        <v>45557</v>
      </c>
      <c r="B36" s="280" t="n">
        <v>1337</v>
      </c>
      <c r="C36" s="280" t="n">
        <v>12207</v>
      </c>
      <c r="D36" s="281" t="n"/>
    </row>
    <row r="37">
      <c r="A37" s="279" t="n">
        <v>45587</v>
      </c>
      <c r="B37" s="280" t="n">
        <v>1347</v>
      </c>
      <c r="C37" s="280" t="n">
        <v>12335</v>
      </c>
      <c r="D37" s="281" t="n"/>
    </row>
    <row r="38">
      <c r="A38" s="279" t="n">
        <v>45618</v>
      </c>
      <c r="B38" s="280" t="n">
        <v>1332</v>
      </c>
      <c r="C38" s="280" t="n">
        <v>12171</v>
      </c>
      <c r="D38" s="281" t="n"/>
    </row>
    <row r="39">
      <c r="A39" s="279" t="n">
        <v>45648</v>
      </c>
      <c r="B39" s="280" t="n">
        <v>1351</v>
      </c>
      <c r="C39" s="280" t="n">
        <v>12298</v>
      </c>
      <c r="D39" s="281" t="n"/>
    </row>
    <row r="40">
      <c r="A40" s="279" t="n">
        <v>45314</v>
      </c>
      <c r="B40" s="280" t="n">
        <v>1374</v>
      </c>
      <c r="C40" s="280" t="n">
        <v>12301</v>
      </c>
      <c r="D40" s="281" t="n"/>
    </row>
    <row r="41">
      <c r="A41" s="279" t="n">
        <v>45345</v>
      </c>
      <c r="B41" s="280" t="n">
        <v>1402</v>
      </c>
      <c r="C41" s="280" t="n">
        <v>12368</v>
      </c>
      <c r="D41" s="281" t="n"/>
    </row>
    <row r="42">
      <c r="A42" s="279" t="n">
        <v>45374</v>
      </c>
      <c r="B42" s="280" t="n">
        <v>1391</v>
      </c>
      <c r="C42" s="280" t="n">
        <v>12430</v>
      </c>
      <c r="D42" s="281" t="n"/>
    </row>
    <row r="43">
      <c r="A43" s="279" t="n">
        <v>45405</v>
      </c>
      <c r="B43" s="280" t="n">
        <v>1405</v>
      </c>
      <c r="C43" s="280" t="n">
        <v>12580</v>
      </c>
      <c r="D43" s="281" t="n"/>
    </row>
    <row r="44">
      <c r="A44" s="282" t="n">
        <v>45435</v>
      </c>
      <c r="B44" s="280" t="n">
        <v>1360</v>
      </c>
      <c r="C44" s="280" t="n">
        <v>12279</v>
      </c>
      <c r="D44" s="281" t="n"/>
    </row>
    <row r="45">
      <c r="A45" s="279" t="n">
        <v>45466</v>
      </c>
      <c r="B45" s="280" t="n">
        <v>1354</v>
      </c>
      <c r="C45" s="280" t="n">
        <v>12342</v>
      </c>
      <c r="D45" s="281" t="n"/>
    </row>
    <row r="46">
      <c r="A46" s="279" t="n">
        <v>45496</v>
      </c>
      <c r="B46" s="280" t="n">
        <v>1358</v>
      </c>
      <c r="C46" s="280" t="n">
        <v>12389</v>
      </c>
      <c r="D46" s="281" t="n"/>
    </row>
    <row r="47">
      <c r="A47" s="279" t="n">
        <v>45527</v>
      </c>
      <c r="B47" s="280" t="n">
        <v>1384</v>
      </c>
      <c r="C47" s="280" t="n">
        <v>12583</v>
      </c>
      <c r="D47" s="281" t="n"/>
    </row>
    <row r="48">
      <c r="A48" s="279" t="n">
        <v>45558</v>
      </c>
      <c r="B48" s="280" t="n">
        <v>1358</v>
      </c>
      <c r="C48" s="280" t="n">
        <v>12442</v>
      </c>
      <c r="D48" s="281" t="n"/>
    </row>
    <row r="49">
      <c r="A49" s="279" t="n">
        <v>45588</v>
      </c>
      <c r="B49" s="280" t="n">
        <v>1381</v>
      </c>
      <c r="C49" s="280" t="n">
        <v>12515</v>
      </c>
      <c r="D49" s="281" t="n"/>
    </row>
    <row r="50">
      <c r="A50" s="279" t="n">
        <v>45619</v>
      </c>
      <c r="B50" s="280" t="n">
        <v>1391</v>
      </c>
      <c r="C50" s="280" t="n">
        <v>12750</v>
      </c>
      <c r="D50" s="281" t="n"/>
    </row>
    <row r="51">
      <c r="A51" s="279" t="n">
        <v>45649</v>
      </c>
      <c r="B51" s="280" t="n">
        <v>1412</v>
      </c>
      <c r="C51" s="280" t="n">
        <v>13048</v>
      </c>
      <c r="D51" s="281" t="n"/>
    </row>
    <row r="52">
      <c r="A52" s="279" t="n">
        <v>45315</v>
      </c>
      <c r="B52" s="280" t="n">
        <v>1400</v>
      </c>
      <c r="C52" s="280" t="n">
        <v>12762</v>
      </c>
      <c r="D52" s="281" t="n"/>
    </row>
    <row r="53">
      <c r="A53" s="279" t="n">
        <v>45346</v>
      </c>
      <c r="B53" s="280" t="n">
        <v>1401</v>
      </c>
      <c r="C53" s="280" t="n">
        <v>12617</v>
      </c>
      <c r="D53" s="281" t="n"/>
    </row>
    <row r="54">
      <c r="A54" s="279" t="n">
        <v>45375</v>
      </c>
      <c r="B54" s="280" t="n">
        <v>1426</v>
      </c>
      <c r="C54" s="280" t="n">
        <v>12505</v>
      </c>
      <c r="D54" s="281" t="n"/>
    </row>
    <row r="55">
      <c r="A55" s="279" t="n">
        <v>45406</v>
      </c>
      <c r="B55" s="280" t="n">
        <v>1433</v>
      </c>
      <c r="C55" s="280" t="n">
        <v>12654</v>
      </c>
      <c r="D55" s="281" t="n"/>
    </row>
    <row r="56">
      <c r="A56" s="282" t="n">
        <v>45436</v>
      </c>
      <c r="B56" s="280" t="n">
        <v>1454</v>
      </c>
      <c r="C56" s="280" t="n">
        <v>12698</v>
      </c>
      <c r="D56" s="281" t="n"/>
    </row>
    <row r="57">
      <c r="A57" s="279" t="n">
        <v>45467</v>
      </c>
      <c r="B57" s="280" t="n">
        <v>1469</v>
      </c>
      <c r="C57" s="280" t="n">
        <v>12667</v>
      </c>
      <c r="D57" s="281" t="n"/>
      <c r="F57" s="283">
        <f>average(C50:C57)</f>
        <v/>
      </c>
    </row>
    <row r="58">
      <c r="A58" s="279" t="n">
        <v>45497</v>
      </c>
      <c r="B58" s="280" t="n">
        <v>1505</v>
      </c>
      <c r="C58" s="280" t="n">
        <v>12980</v>
      </c>
      <c r="D58" s="281" t="n"/>
    </row>
  </sheetData>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2026-09-17T14:15:53Z</dcterms:created>
  <dcterms:modified xmlns:dcterms="http://purl.org/dc/terms/" xmlns:xsi="http://www.w3.org/2001/XMLSchema-instance" xsi:type="dcterms:W3CDTF">2026-09-17T14:16:10Z</dcterms:modified>
</cp:coreProperties>
</file>